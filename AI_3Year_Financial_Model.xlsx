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I Chatbot" sheetId="2" state="visible" r:id="rId4"/>
    <sheet name="Data Services" sheetId="3" state="visible" r:id="rId5"/>
    <sheet name="Consolidated P&amp;L" sheetId="4" state="visible" r:id="rId6"/>
    <sheet name="Unit Econom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<sst xmlns="http://schemas.openxmlformats.org/spreadsheetml/2006/main" count="112" uniqueCount="88">
  <si>
    <t xml:space="preserve">INNOVATION AI — 3-YEAR FINANCIAL MODEL</t>
  </si>
  <si>
    <t xml:space="preserve">Key Assumptions</t>
  </si>
  <si>
    <t xml:space="preserve">Parameter</t>
  </si>
  <si>
    <t xml:space="preserve">Year 1</t>
  </si>
  <si>
    <t xml:space="preserve">Year 2</t>
  </si>
  <si>
    <t xml:space="preserve">Year 3</t>
  </si>
  <si>
    <t xml:space="preserve">AI CHATBOT (B2B SaaS)</t>
  </si>
  <si>
    <t xml:space="preserve">New customers / month</t>
  </si>
  <si>
    <t xml:space="preserve">Monthly churn rate</t>
  </si>
  <si>
    <t xml:space="preserve">ARPU ($/month)</t>
  </si>
  <si>
    <t xml:space="preserve">Gross margin %</t>
  </si>
  <si>
    <t xml:space="preserve">S&amp;M spend ($/month)</t>
  </si>
  <si>
    <t xml:space="preserve">Product &amp; Eng ($/month)</t>
  </si>
  <si>
    <t xml:space="preserve">DATA SERVICES</t>
  </si>
  <si>
    <t xml:space="preserve">ACV / month ($/client)</t>
  </si>
  <si>
    <t xml:space="preserve">Delivery &amp; Eng ($/month)</t>
  </si>
  <si>
    <t xml:space="preserve">Unit Economics (AI Chatbot — Year 1)</t>
  </si>
  <si>
    <t xml:space="preserve">CAC ($)</t>
  </si>
  <si>
    <t xml:space="preserve">$1,833</t>
  </si>
  <si>
    <t xml:space="preserve">LTV @ 3% churn ($)</t>
  </si>
  <si>
    <t xml:space="preserve">$6,478</t>
  </si>
  <si>
    <t xml:space="preserve">3.5x</t>
  </si>
  <si>
    <t xml:space="preserve">LTV/CAC</t>
  </si>
  <si>
    <t xml:space="preserve">Healthy &gt;3x</t>
  </si>
  <si>
    <t xml:space="preserve">CAC Payback (months)</t>
  </si>
  <si>
    <t xml:space="preserve">9.4 mo</t>
  </si>
  <si>
    <t xml:space="preserve">&lt; 12 mo benchmark ✓</t>
  </si>
  <si>
    <t xml:space="preserve">Breakeven customers</t>
  </si>
  <si>
    <t xml:space="preserve">44</t>
  </si>
  <si>
    <t xml:space="preserve">Month 8</t>
  </si>
  <si>
    <t xml:space="preserve">AI CHATBOT — 3-YEAR P&amp;L</t>
  </si>
  <si>
    <t xml:space="preserve">Metric</t>
  </si>
  <si>
    <t xml:space="preserve">Period-end customers</t>
  </si>
  <si>
    <t xml:space="preserve">Revenue (annual)</t>
  </si>
  <si>
    <t xml:space="preserve">Gross profit</t>
  </si>
  <si>
    <t xml:space="preserve">S&amp;M (annual)</t>
  </si>
  <si>
    <t xml:space="preserve">Product &amp; Eng (annual)</t>
  </si>
  <si>
    <t xml:space="preserve">Total OpEx</t>
  </si>
  <si>
    <t xml:space="preserve">Contribution Margin ($)</t>
  </si>
  <si>
    <t xml:space="preserve">Contribution Margin %</t>
  </si>
  <si>
    <t xml:space="preserve">* Period-end customers based on monthly churn simulation (see Assumptions tab)</t>
  </si>
  <si>
    <t xml:space="preserve">DATA SERVICES — 3-YEAR P&amp;L</t>
  </si>
  <si>
    <t xml:space="preserve">Delivery &amp; Eng (annual)</t>
  </si>
  <si>
    <t xml:space="preserve">INNOVATION AI — CONSOLIDATED 3-YEAR P&amp;L</t>
  </si>
  <si>
    <t xml:space="preserve">Y1 Chatbot</t>
  </si>
  <si>
    <t xml:space="preserve">Y1 Data Svc</t>
  </si>
  <si>
    <t xml:space="preserve">Y1 Total</t>
  </si>
  <si>
    <t xml:space="preserve">Y2 Total</t>
  </si>
  <si>
    <t xml:space="preserve">Y3 Total</t>
  </si>
  <si>
    <t xml:space="preserve">3Y Growth</t>
  </si>
  <si>
    <t xml:space="preserve">Revenue</t>
  </si>
  <si>
    <t xml:space="preserve">Gross Profit</t>
  </si>
  <si>
    <t xml:space="preserve">Contribution Margin</t>
  </si>
  <si>
    <t xml:space="preserve">Positive Y2</t>
  </si>
  <si>
    <t xml:space="preserve">CM %</t>
  </si>
  <si>
    <t xml:space="preserve">N/A</t>
  </si>
  <si>
    <t xml:space="preserve">Key Takeaways</t>
  </si>
  <si>
    <t xml:space="preserve">AI Chatbot: Fast ramp, CM positive Year 2 (+$31K). Cash flow engine for early stage.</t>
  </si>
  <si>
    <t xml:space="preserve">Data Services: Slower start, CM turns positive Year 2 (+$4K), accelerates to +$318K by Year 3.</t>
  </si>
  <si>
    <t xml:space="preserve">Consolidated: Revenue scales 7.4x from Y1 ($268K) to Y3 ($1.99M). CM breakeven Year 2.</t>
  </si>
  <si>
    <t xml:space="preserve">Key risk: Churn assumption decline (6%→3% Chatbot, 4%→2% Data Svc) must be monitored monthly.</t>
  </si>
  <si>
    <t xml:space="preserve">UNIT ECONOMICS — AI CHATBOT (Year 1 Base Case)</t>
  </si>
  <si>
    <t xml:space="preserve">Value</t>
  </si>
  <si>
    <t xml:space="preserve">Formula / Note</t>
  </si>
  <si>
    <t xml:space="preserve">Monthly S&amp;M + Eng spend</t>
  </si>
  <si>
    <t xml:space="preserve">$5,500/mo (1 SDR + tools + ads)</t>
  </si>
  <si>
    <t xml:space="preserve">Outbound sales assumption</t>
  </si>
  <si>
    <t xml:space="preserve">CAC</t>
  </si>
  <si>
    <t xml:space="preserve">S&amp;M spend ÷ new customers</t>
  </si>
  <si>
    <t xml:space="preserve">ARPU / month</t>
  </si>
  <si>
    <t xml:space="preserve">Growth tier ($299/mo)</t>
  </si>
  <si>
    <t xml:space="preserve">Gross margin</t>
  </si>
  <si>
    <t xml:space="preserve">65% after server + API costs</t>
  </si>
  <si>
    <t xml:space="preserve">Monthly churn (base)</t>
  </si>
  <si>
    <t xml:space="preserve">3% base case</t>
  </si>
  <si>
    <t xml:space="preserve">Customer lifetime (mo)</t>
  </si>
  <si>
    <t xml:space="preserve">1 ÷ churn rate</t>
  </si>
  <si>
    <t xml:space="preserve">LTV</t>
  </si>
  <si>
    <t xml:space="preserve">ARPU × GM × Lifetime</t>
  </si>
  <si>
    <t xml:space="preserve">LTV / CAC</t>
  </si>
  <si>
    <t xml:space="preserve">Target &gt;3x</t>
  </si>
  <si>
    <t xml:space="preserve">CAC ÷ (ARPU × GM)</t>
  </si>
  <si>
    <t xml:space="preserve">Monthly churn (stress)</t>
  </si>
  <si>
    <t xml:space="preserve">6% stress case</t>
  </si>
  <si>
    <t xml:space="preserve">Customer lifetime (stress)</t>
  </si>
  <si>
    <t xml:space="preserve">LTV (stress)</t>
  </si>
  <si>
    <t xml:space="preserve">LTV/CAC (stress)</t>
  </si>
  <si>
    <t xml:space="preserve">Danger zone &lt;2x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</si>
</sst>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#,##0"/>
    <numFmt numFmtId="169" formatCode="\$#,##0;&quot;($&quot;#,##0\);\-"/>
    <numFmt numFmtId="170" formatCode="0.0%;\(0.0%\);\-"/>
    <numFmt numFmtId="171" formatCode="#,##0.0;\(#,##0.0\);\-"/>
    <numFmt numFmtId="172" formatCode="#,##0.0"/>
    <numFmt numFmtId="173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8CDD8"/>
      <name val="Arial"/>
      <family val="0"/>
      <charset val="1"/>
    </font>
    <font>
      <b val="true"/>
      <sz val="10"/>
      <color rgb="FF3A7BD5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B894"/>
      <name val="Arial"/>
      <family val="0"/>
      <charset val="1"/>
    </font>
    <font>
      <i val="true"/>
      <sz val="9"/>
      <color rgb="FF6C7A9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DCB6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6C7A96"/>
      <name val="Arial"/>
      <family val="0"/>
      <charset val="1"/>
    </font>
    <font>
      <b val="true"/>
      <sz val="10"/>
      <color rgb="FFE170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117"/>
        <bgColor rgb="FF000000"/>
      </patternFill>
    </fill>
    <fill>
      <patternFill patternType="solid">
        <fgColor rgb="FF1E2235"/>
        <bgColor rgb="FF0F1117"/>
      </patternFill>
    </fill>
    <fill>
      <patternFill patternType="solid">
        <fgColor rgb="FF7BD522"/>
        <bgColor rgb="FF7BD533"/>
      </patternFill>
    </fill>
    <fill>
      <patternFill patternType="solid">
        <fgColor rgb="FFFFFFFF"/>
        <bgColor rgb="FFFFFBF0"/>
      </patternFill>
    </fill>
    <fill>
      <patternFill patternType="solid">
        <fgColor rgb="FFB89422"/>
        <bgColor rgb="FFB89433"/>
      </patternFill>
    </fill>
    <fill>
      <patternFill patternType="solid">
        <fgColor rgb="FFF0F4FF"/>
        <bgColor rgb="FFF8F8FF"/>
      </patternFill>
    </fill>
    <fill>
      <patternFill patternType="solid">
        <fgColor rgb="FFF0FFF8"/>
        <bgColor rgb="FFF8F8FF"/>
      </patternFill>
    </fill>
    <fill>
      <patternFill patternType="solid">
        <fgColor rgb="FF7BD533"/>
        <bgColor rgb="FF7BD522"/>
      </patternFill>
    </fill>
    <fill>
      <patternFill patternType="solid">
        <fgColor rgb="FFB89433"/>
        <bgColor rgb="FFB89422"/>
      </patternFill>
    </fill>
    <fill>
      <patternFill patternType="solid">
        <fgColor rgb="FFF8F8FF"/>
        <bgColor rgb="FFF0F4FF"/>
      </patternFill>
    </fill>
    <fill>
      <patternFill patternType="solid">
        <fgColor rgb="FFFFFB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422"/>
      <rgbColor rgb="FF800080"/>
      <rgbColor rgb="FF008080"/>
      <rgbColor rgb="FFCCCCCC"/>
      <rgbColor rgb="FF6C7A96"/>
      <rgbColor rgb="FF9999FF"/>
      <rgbColor rgb="FF993366"/>
      <rgbColor rgb="FFFFFBF0"/>
      <rgbColor rgb="FFF0FFF8"/>
      <rgbColor rgb="FF660066"/>
      <rgbColor rgb="FFE17055"/>
      <rgbColor rgb="FF0066CC"/>
      <rgbColor rgb="FFC8C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8F8FF"/>
      <rgbColor rgb="FFFFFF99"/>
      <rgbColor rgb="FF99CCFF"/>
      <rgbColor rgb="FFFF99CC"/>
      <rgbColor rgb="FFCC99FF"/>
      <rgbColor rgb="FFFDCB6E"/>
      <rgbColor rgb="FF3A7BD5"/>
      <rgbColor rgb="FF00B894"/>
      <rgbColor rgb="FF7BD522"/>
      <rgbColor rgb="FFFFCC00"/>
      <rgbColor rgb="FFFF9900"/>
      <rgbColor rgb="FFFF6600"/>
      <rgbColor rgb="FF666699"/>
      <rgbColor rgb="FFB89433"/>
      <rgbColor rgb="FF003366"/>
      <rgbColor rgb="FF7BD533"/>
      <rgbColor rgb="FF0F1117"/>
      <rgbColor rgb="FF333300"/>
      <rgbColor rgb="FF993300"/>
      <rgbColor rgb="FF993366"/>
      <rgbColor rgb="FF333399"/>
      <rgbColor rgb="FF1E22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</row>
    <row r="4" customFormat="false" ht="15" hidden="false" customHeight="true" outlineLevel="0" collapsed="false">
      <c r="A4" s="6" t="s">
        <v>6</v>
      </c>
      <c r="B4" s="6"/>
      <c r="C4" s="6"/>
      <c r="D4" s="6"/>
    </row>
    <row r="5" customFormat="false" ht="15" hidden="false" customHeight="true" outlineLevel="0" collapsed="false">
      <c r="A5" s="7" t="s">
        <v>7</v>
      </c>
      <c r="B5" s="8" t="n">
        <v>3</v>
      </c>
      <c r="C5" s="8" t="n">
        <v>6</v>
      </c>
      <c r="D5" s="8" t="n">
        <v>12</v>
      </c>
    </row>
    <row r="6" customFormat="false" ht="15" hidden="false" customHeight="true" outlineLevel="0" collapsed="false">
      <c r="A6" s="7" t="s">
        <v>8</v>
      </c>
      <c r="B6" s="9" t="n">
        <v>0.06</v>
      </c>
      <c r="C6" s="9" t="n">
        <v>0.04</v>
      </c>
      <c r="D6" s="9" t="n">
        <v>0.03</v>
      </c>
    </row>
    <row r="7" customFormat="false" ht="15" hidden="false" customHeight="true" outlineLevel="0" collapsed="false">
      <c r="A7" s="7" t="s">
        <v>9</v>
      </c>
      <c r="B7" s="10" t="n">
        <v>299</v>
      </c>
      <c r="C7" s="10" t="n">
        <v>320</v>
      </c>
      <c r="D7" s="10" t="n">
        <v>340</v>
      </c>
    </row>
    <row r="8" customFormat="false" ht="15" hidden="false" customHeight="true" outlineLevel="0" collapsed="false">
      <c r="A8" s="7" t="s">
        <v>10</v>
      </c>
      <c r="B8" s="9" t="n">
        <v>0.65</v>
      </c>
      <c r="C8" s="9" t="n">
        <v>0.7</v>
      </c>
      <c r="D8" s="9" t="n">
        <v>0.75</v>
      </c>
    </row>
    <row r="9" customFormat="false" ht="15" hidden="false" customHeight="true" outlineLevel="0" collapsed="false">
      <c r="A9" s="7" t="s">
        <v>11</v>
      </c>
      <c r="B9" s="10" t="n">
        <v>5500</v>
      </c>
      <c r="C9" s="10" t="n">
        <v>9000</v>
      </c>
      <c r="D9" s="10" t="n">
        <v>15000</v>
      </c>
    </row>
    <row r="10" customFormat="false" ht="15" hidden="false" customHeight="true" outlineLevel="0" collapsed="false">
      <c r="A10" s="7" t="s">
        <v>12</v>
      </c>
      <c r="B10" s="10" t="n">
        <v>3000</v>
      </c>
      <c r="C10" s="10" t="n">
        <v>5000</v>
      </c>
      <c r="D10" s="10" t="n">
        <v>8000</v>
      </c>
    </row>
    <row r="11" customFormat="false" ht="15" hidden="false" customHeight="true" outlineLevel="0" collapsed="false">
      <c r="A11" s="11" t="s">
        <v>13</v>
      </c>
      <c r="B11" s="11"/>
      <c r="C11" s="11"/>
      <c r="D11" s="11"/>
    </row>
    <row r="12" customFormat="false" ht="15" hidden="false" customHeight="true" outlineLevel="0" collapsed="false">
      <c r="A12" s="7" t="s">
        <v>7</v>
      </c>
      <c r="B12" s="8" t="n">
        <v>1</v>
      </c>
      <c r="C12" s="8" t="n">
        <v>2</v>
      </c>
      <c r="D12" s="8" t="n">
        <v>4</v>
      </c>
    </row>
    <row r="13" customFormat="false" ht="15" hidden="false" customHeight="true" outlineLevel="0" collapsed="false">
      <c r="A13" s="7" t="s">
        <v>8</v>
      </c>
      <c r="B13" s="9" t="n">
        <v>0.04</v>
      </c>
      <c r="C13" s="9" t="n">
        <v>0.03</v>
      </c>
      <c r="D13" s="9" t="n">
        <v>0.02</v>
      </c>
    </row>
    <row r="14" customFormat="false" ht="15" hidden="false" customHeight="true" outlineLevel="0" collapsed="false">
      <c r="A14" s="7" t="s">
        <v>14</v>
      </c>
      <c r="B14" s="10" t="n">
        <v>1500</v>
      </c>
      <c r="C14" s="10" t="n">
        <v>1575</v>
      </c>
      <c r="D14" s="10" t="n">
        <v>1654</v>
      </c>
    </row>
    <row r="15" customFormat="false" ht="15" hidden="false" customHeight="true" outlineLevel="0" collapsed="false">
      <c r="A15" s="7" t="s">
        <v>10</v>
      </c>
      <c r="B15" s="9" t="n">
        <v>0.45</v>
      </c>
      <c r="C15" s="9" t="n">
        <v>0.5</v>
      </c>
      <c r="D15" s="9" t="n">
        <v>0.55</v>
      </c>
    </row>
    <row r="16" customFormat="false" ht="15" hidden="false" customHeight="true" outlineLevel="0" collapsed="false">
      <c r="A16" s="7" t="s">
        <v>11</v>
      </c>
      <c r="B16" s="10" t="n">
        <v>6000</v>
      </c>
      <c r="C16" s="10" t="n">
        <v>9000</v>
      </c>
      <c r="D16" s="10" t="n">
        <v>14000</v>
      </c>
    </row>
    <row r="17" customFormat="false" ht="15" hidden="false" customHeight="true" outlineLevel="0" collapsed="false">
      <c r="A17" s="7" t="s">
        <v>15</v>
      </c>
      <c r="B17" s="10" t="n">
        <v>8000</v>
      </c>
      <c r="C17" s="10" t="n">
        <v>12000</v>
      </c>
      <c r="D17" s="10" t="n">
        <v>18000</v>
      </c>
    </row>
    <row r="19" customFormat="false" ht="15" hidden="false" customHeight="true" outlineLevel="0" collapsed="false">
      <c r="A19" s="3" t="s">
        <v>16</v>
      </c>
      <c r="B19" s="3"/>
      <c r="C19" s="3"/>
      <c r="D19" s="3"/>
    </row>
    <row r="20" customFormat="false" ht="15" hidden="false" customHeight="true" outlineLevel="0" collapsed="false">
      <c r="A20" s="12" t="s">
        <v>17</v>
      </c>
      <c r="B20" s="13" t="s">
        <v>18</v>
      </c>
      <c r="C20" s="14" t="s">
        <v>18</v>
      </c>
      <c r="D20" s="14"/>
    </row>
    <row r="21" customFormat="false" ht="15" hidden="false" customHeight="true" outlineLevel="0" collapsed="false">
      <c r="A21" s="12" t="s">
        <v>19</v>
      </c>
      <c r="B21" s="13" t="s">
        <v>20</v>
      </c>
      <c r="C21" s="14" t="s">
        <v>21</v>
      </c>
      <c r="D21" s="14"/>
    </row>
    <row r="22" customFormat="false" ht="15" hidden="false" customHeight="true" outlineLevel="0" collapsed="false">
      <c r="A22" s="12" t="s">
        <v>22</v>
      </c>
      <c r="B22" s="13" t="s">
        <v>21</v>
      </c>
      <c r="C22" s="15" t="s">
        <v>23</v>
      </c>
      <c r="D22" s="15"/>
    </row>
    <row r="23" customFormat="false" ht="15" hidden="false" customHeight="true" outlineLevel="0" collapsed="false">
      <c r="A23" s="12" t="s">
        <v>24</v>
      </c>
      <c r="B23" s="13" t="s">
        <v>25</v>
      </c>
      <c r="C23" s="15" t="s">
        <v>26</v>
      </c>
      <c r="D23" s="15"/>
    </row>
    <row r="24" customFormat="false" ht="15" hidden="false" customHeight="true" outlineLevel="0" collapsed="false">
      <c r="A24" s="12" t="s">
        <v>27</v>
      </c>
      <c r="B24" s="13" t="s">
        <v>28</v>
      </c>
      <c r="C24" s="15" t="s">
        <v>29</v>
      </c>
      <c r="D24" s="15"/>
    </row>
  </sheetData>
  <mergeCells count="10">
    <mergeCell ref="A1:D1"/>
    <mergeCell ref="A2:D2"/>
    <mergeCell ref="A4:D4"/>
    <mergeCell ref="A11:D11"/>
    <mergeCell ref="A19:D19"/>
    <mergeCell ref="C20:D20"/>
    <mergeCell ref="C21:D21"/>
    <mergeCell ref="C22:D22"/>
    <mergeCell ref="C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</cols>
  <sheetData>
    <row r="1" customFormat="false" ht="15" hidden="false" customHeight="true" outlineLevel="0" collapsed="false">
      <c r="A1" s="2" t="s">
        <v>30</v>
      </c>
      <c r="B1" s="2"/>
      <c r="C1" s="2"/>
      <c r="D1" s="2"/>
    </row>
    <row r="2" customFormat="false" ht="15" hidden="false" customHeight="true" outlineLevel="0" collapsed="false">
      <c r="A2" s="4" t="s">
        <v>31</v>
      </c>
      <c r="B2" s="5" t="s">
        <v>3</v>
      </c>
      <c r="C2" s="5" t="s">
        <v>4</v>
      </c>
      <c r="D2" s="5" t="s">
        <v>5</v>
      </c>
    </row>
    <row r="3" customFormat="false" ht="15" hidden="false" customHeight="true" outlineLevel="0" collapsed="false">
      <c r="A3" s="7" t="s">
        <v>32</v>
      </c>
      <c r="B3" s="8" t="n">
        <v>26</v>
      </c>
      <c r="C3" s="8" t="n">
        <v>74</v>
      </c>
      <c r="D3" s="8" t="n">
        <v>174</v>
      </c>
    </row>
    <row r="4" customFormat="false" ht="15" hidden="false" customHeight="true" outlineLevel="0" collapsed="false">
      <c r="A4" s="16"/>
      <c r="B4" s="17" t="n">
        <v>26</v>
      </c>
      <c r="C4" s="17" t="n">
        <v>74</v>
      </c>
      <c r="D4" s="17" t="n">
        <v>174</v>
      </c>
    </row>
    <row r="5" customFormat="false" ht="15" hidden="false" customHeight="true" outlineLevel="0" collapsed="false">
      <c r="A5" s="7" t="s">
        <v>33</v>
      </c>
      <c r="B5" s="18" t="n">
        <f aca="false">B4*Assumptions!B6*12</f>
        <v>18.72</v>
      </c>
      <c r="C5" s="18" t="n">
        <f aca="false">C4*Assumptions!C6*12</f>
        <v>35.52</v>
      </c>
      <c r="D5" s="18" t="n">
        <f aca="false">D4*Assumptions!D6*12</f>
        <v>62.64</v>
      </c>
    </row>
    <row r="6" customFormat="false" ht="15" hidden="false" customHeight="true" outlineLevel="0" collapsed="false">
      <c r="A6" s="7" t="s">
        <v>34</v>
      </c>
      <c r="B6" s="19" t="n">
        <f aca="false">B4*Assumptions!B6*12</f>
        <v>18.72</v>
      </c>
      <c r="C6" s="19" t="n">
        <f aca="false">C4*Assumptions!C6*12</f>
        <v>35.52</v>
      </c>
      <c r="D6" s="19" t="n">
        <f aca="false">D4*Assumptions!D6*12</f>
        <v>62.64</v>
      </c>
    </row>
    <row r="7" customFormat="false" ht="15" hidden="false" customHeight="true" outlineLevel="0" collapsed="false">
      <c r="A7" s="16"/>
      <c r="B7" s="20" t="n">
        <f aca="false">B6*Assumptions!B7</f>
        <v>5597.28</v>
      </c>
      <c r="C7" s="20" t="n">
        <f aca="false">C6*Assumptions!C7</f>
        <v>11366.4</v>
      </c>
      <c r="D7" s="20" t="n">
        <f aca="false">D6*Assumptions!D7</f>
        <v>21297.6</v>
      </c>
    </row>
    <row r="8" customFormat="false" ht="15" hidden="false" customHeight="true" outlineLevel="0" collapsed="false">
      <c r="A8" s="7" t="s">
        <v>35</v>
      </c>
      <c r="B8" s="18" t="n">
        <f aca="false">Assumptions!B8*12</f>
        <v>7.8</v>
      </c>
      <c r="C8" s="18" t="n">
        <f aca="false">Assumptions!C8*12</f>
        <v>8.4</v>
      </c>
      <c r="D8" s="18" t="n">
        <f aca="false">Assumptions!D8*12</f>
        <v>9</v>
      </c>
    </row>
    <row r="9" customFormat="false" ht="15" hidden="false" customHeight="true" outlineLevel="0" collapsed="false">
      <c r="A9" s="7" t="s">
        <v>36</v>
      </c>
      <c r="B9" s="19" t="n">
        <f aca="false">Assumptions!B8*12</f>
        <v>7.8</v>
      </c>
      <c r="C9" s="19" t="n">
        <f aca="false">Assumptions!C8*12</f>
        <v>8.4</v>
      </c>
      <c r="D9" s="19" t="n">
        <f aca="false">Assumptions!D8*12</f>
        <v>9</v>
      </c>
    </row>
    <row r="10" customFormat="false" ht="15" hidden="false" customHeight="true" outlineLevel="0" collapsed="false">
      <c r="A10" s="7" t="s">
        <v>37</v>
      </c>
      <c r="B10" s="19" t="n">
        <f aca="false">Assumptions!B9*12</f>
        <v>66000</v>
      </c>
      <c r="C10" s="19" t="n">
        <f aca="false">Assumptions!C9*12</f>
        <v>108000</v>
      </c>
      <c r="D10" s="19" t="n">
        <f aca="false">Assumptions!D9*12</f>
        <v>180000</v>
      </c>
    </row>
    <row r="11" customFormat="false" ht="15" hidden="false" customHeight="true" outlineLevel="0" collapsed="false">
      <c r="A11" s="16"/>
      <c r="B11" s="20" t="n">
        <f aca="false">B9+B10</f>
        <v>66007.8</v>
      </c>
      <c r="C11" s="20" t="n">
        <f aca="false">C9+C10</f>
        <v>108008.4</v>
      </c>
      <c r="D11" s="20" t="n">
        <f aca="false">D9+D10</f>
        <v>180009</v>
      </c>
    </row>
    <row r="12" customFormat="false" ht="15" hidden="false" customHeight="true" outlineLevel="0" collapsed="false">
      <c r="A12" s="21" t="s">
        <v>38</v>
      </c>
      <c r="B12" s="22" t="n">
        <f aca="false">B7-B11</f>
        <v>-60410.52</v>
      </c>
      <c r="C12" s="22" t="n">
        <f aca="false">C7-C11</f>
        <v>-96642</v>
      </c>
      <c r="D12" s="22" t="n">
        <f aca="false">D7-D11</f>
        <v>-158711.4</v>
      </c>
    </row>
    <row r="13" customFormat="false" ht="15" hidden="false" customHeight="true" outlineLevel="0" collapsed="false">
      <c r="A13" s="21" t="s">
        <v>39</v>
      </c>
      <c r="B13" s="23" t="n">
        <f aca="false">B7-B11</f>
        <v>-60410.52</v>
      </c>
      <c r="C13" s="23" t="n">
        <f aca="false">C7-C11</f>
        <v>-96642</v>
      </c>
      <c r="D13" s="23" t="n">
        <f aca="false">D7-D11</f>
        <v>-158711.4</v>
      </c>
    </row>
    <row r="14" customFormat="false" ht="15" hidden="false" customHeight="false" outlineLevel="0" collapsed="false">
      <c r="B14" s="24" t="n">
        <f aca="false">IF(B6=0,0,B13/B6)</f>
        <v>-3227.05769230769</v>
      </c>
      <c r="C14" s="24" t="n">
        <f aca="false">IF(C6=0,0,C13/C6)</f>
        <v>-2720.77702702703</v>
      </c>
      <c r="D14" s="24" t="n">
        <f aca="false">IF(D6=0,0,D13/D6)</f>
        <v>-2533.70689655172</v>
      </c>
    </row>
    <row r="15" customFormat="false" ht="15" hidden="false" customHeight="true" outlineLevel="0" collapsed="false">
      <c r="A15" s="15" t="s">
        <v>40</v>
      </c>
      <c r="B15" s="15"/>
      <c r="C15" s="15"/>
      <c r="D15" s="15"/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</cols>
  <sheetData>
    <row r="1" customFormat="false" ht="15" hidden="false" customHeight="true" outlineLevel="0" collapsed="false">
      <c r="A1" s="2" t="s">
        <v>41</v>
      </c>
      <c r="B1" s="2"/>
      <c r="C1" s="2"/>
      <c r="D1" s="2"/>
    </row>
    <row r="2" customFormat="false" ht="15" hidden="false" customHeight="true" outlineLevel="0" collapsed="false">
      <c r="A2" s="4" t="s">
        <v>31</v>
      </c>
      <c r="B2" s="5" t="s">
        <v>3</v>
      </c>
      <c r="C2" s="5" t="s">
        <v>4</v>
      </c>
      <c r="D2" s="5" t="s">
        <v>5</v>
      </c>
    </row>
    <row r="3" customFormat="false" ht="15" hidden="false" customHeight="true" outlineLevel="0" collapsed="false">
      <c r="A3" s="7" t="s">
        <v>32</v>
      </c>
      <c r="B3" s="25" t="n">
        <v>9.68</v>
      </c>
      <c r="C3" s="25" t="n">
        <v>27.13</v>
      </c>
      <c r="D3" s="25" t="n">
        <v>64.34</v>
      </c>
    </row>
    <row r="4" customFormat="false" ht="15" hidden="false" customHeight="true" outlineLevel="0" collapsed="false">
      <c r="A4" s="16"/>
      <c r="B4" s="26" t="n">
        <v>9.68</v>
      </c>
      <c r="C4" s="26" t="n">
        <v>27.13</v>
      </c>
      <c r="D4" s="26" t="n">
        <v>64.34</v>
      </c>
    </row>
    <row r="5" customFormat="false" ht="15" hidden="false" customHeight="true" outlineLevel="0" collapsed="false">
      <c r="A5" s="7" t="s">
        <v>33</v>
      </c>
      <c r="B5" s="18" t="n">
        <f aca="false">B4*Assumptions!B14*12</f>
        <v>174240</v>
      </c>
      <c r="C5" s="18" t="n">
        <f aca="false">C4*Assumptions!C14*12</f>
        <v>512757</v>
      </c>
      <c r="D5" s="18" t="n">
        <f aca="false">D4*Assumptions!D14*12</f>
        <v>1277020.32</v>
      </c>
    </row>
    <row r="6" customFormat="false" ht="15" hidden="false" customHeight="true" outlineLevel="0" collapsed="false">
      <c r="A6" s="7" t="s">
        <v>34</v>
      </c>
      <c r="B6" s="19" t="n">
        <f aca="false">B4*Assumptions!B14*12</f>
        <v>174240</v>
      </c>
      <c r="C6" s="19" t="n">
        <f aca="false">C4*Assumptions!C14*12</f>
        <v>512757</v>
      </c>
      <c r="D6" s="19" t="n">
        <f aca="false">D4*Assumptions!D14*12</f>
        <v>1277020.32</v>
      </c>
    </row>
    <row r="7" customFormat="false" ht="15" hidden="false" customHeight="true" outlineLevel="0" collapsed="false">
      <c r="A7" s="16"/>
      <c r="B7" s="20" t="n">
        <f aca="false">B6*Assumptions!B15</f>
        <v>78408</v>
      </c>
      <c r="C7" s="20" t="n">
        <f aca="false">C6*Assumptions!C15</f>
        <v>256378.5</v>
      </c>
      <c r="D7" s="20" t="n">
        <f aca="false">D6*Assumptions!D15</f>
        <v>702361.176</v>
      </c>
    </row>
    <row r="8" customFormat="false" ht="15" hidden="false" customHeight="true" outlineLevel="0" collapsed="false">
      <c r="A8" s="7" t="s">
        <v>35</v>
      </c>
      <c r="B8" s="18" t="n">
        <f aca="false">Assumptions!B16*12</f>
        <v>72000</v>
      </c>
      <c r="C8" s="18" t="n">
        <f aca="false">Assumptions!C16*12</f>
        <v>108000</v>
      </c>
      <c r="D8" s="18" t="n">
        <f aca="false">Assumptions!D16*12</f>
        <v>168000</v>
      </c>
    </row>
    <row r="9" customFormat="false" ht="15" hidden="false" customHeight="true" outlineLevel="0" collapsed="false">
      <c r="A9" s="7" t="s">
        <v>42</v>
      </c>
      <c r="B9" s="19" t="n">
        <f aca="false">Assumptions!B16*12</f>
        <v>72000</v>
      </c>
      <c r="C9" s="19" t="n">
        <f aca="false">Assumptions!C16*12</f>
        <v>108000</v>
      </c>
      <c r="D9" s="19" t="n">
        <f aca="false">Assumptions!D16*12</f>
        <v>168000</v>
      </c>
    </row>
    <row r="10" customFormat="false" ht="15" hidden="false" customHeight="true" outlineLevel="0" collapsed="false">
      <c r="A10" s="7" t="s">
        <v>37</v>
      </c>
      <c r="B10" s="19" t="n">
        <f aca="false">Assumptions!B17*12</f>
        <v>96000</v>
      </c>
      <c r="C10" s="19" t="n">
        <f aca="false">Assumptions!C17*12</f>
        <v>144000</v>
      </c>
      <c r="D10" s="19" t="n">
        <f aca="false">Assumptions!D17*12</f>
        <v>216000</v>
      </c>
    </row>
    <row r="11" customFormat="false" ht="15" hidden="false" customHeight="true" outlineLevel="0" collapsed="false">
      <c r="A11" s="16"/>
      <c r="B11" s="20" t="n">
        <f aca="false">B9+B10</f>
        <v>168000</v>
      </c>
      <c r="C11" s="20" t="n">
        <f aca="false">C9+C10</f>
        <v>252000</v>
      </c>
      <c r="D11" s="20" t="n">
        <f aca="false">D9+D10</f>
        <v>384000</v>
      </c>
    </row>
    <row r="12" customFormat="false" ht="15" hidden="false" customHeight="true" outlineLevel="0" collapsed="false">
      <c r="A12" s="21" t="s">
        <v>38</v>
      </c>
      <c r="B12" s="27" t="n">
        <f aca="false">B7-B11</f>
        <v>-89592</v>
      </c>
      <c r="C12" s="27" t="n">
        <f aca="false">C7-C11</f>
        <v>4378.5</v>
      </c>
      <c r="D12" s="27" t="n">
        <f aca="false">D7-D11</f>
        <v>318361.176</v>
      </c>
    </row>
    <row r="13" customFormat="false" ht="15" hidden="false" customHeight="true" outlineLevel="0" collapsed="false">
      <c r="A13" s="21" t="s">
        <v>39</v>
      </c>
      <c r="B13" s="28" t="n">
        <f aca="false">B7-B11</f>
        <v>-89592</v>
      </c>
      <c r="C13" s="28" t="n">
        <f aca="false">C7-C11</f>
        <v>4378.5</v>
      </c>
      <c r="D13" s="28" t="n">
        <f aca="false">D7-D11</f>
        <v>318361.176</v>
      </c>
    </row>
    <row r="14" customFormat="false" ht="15" hidden="false" customHeight="false" outlineLevel="0" collapsed="false">
      <c r="B14" s="29" t="n">
        <f aca="false">IF(B6=0,0,B13/B6)</f>
        <v>-0.514187327823692</v>
      </c>
      <c r="C14" s="29" t="n">
        <f aca="false">IF(C6=0,0,C13/C6)</f>
        <v>0.00853913257156899</v>
      </c>
      <c r="D14" s="29" t="n">
        <f aca="false">IF(D6=0,0,D13/D6)</f>
        <v>0.249300008006137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5"/>
      <c r="B2" s="30" t="s">
        <v>44</v>
      </c>
      <c r="C2" s="31" t="s">
        <v>45</v>
      </c>
      <c r="D2" s="5" t="s">
        <v>46</v>
      </c>
      <c r="E2" s="5" t="s">
        <v>47</v>
      </c>
      <c r="F2" s="5" t="s">
        <v>48</v>
      </c>
      <c r="G2" s="32" t="s">
        <v>49</v>
      </c>
    </row>
    <row r="3" customFormat="false" ht="15" hidden="false" customHeight="true" outlineLevel="0" collapsed="false">
      <c r="A3" s="21" t="s">
        <v>50</v>
      </c>
      <c r="B3" s="33" t="n">
        <v>93288</v>
      </c>
      <c r="C3" s="33" t="n">
        <v>174281</v>
      </c>
      <c r="D3" s="33" t="n">
        <v>267569</v>
      </c>
      <c r="E3" s="33" t="n">
        <v>796888</v>
      </c>
      <c r="F3" s="33" t="n">
        <v>1987036</v>
      </c>
      <c r="G3" s="34" t="n">
        <f aca="false">IF(D4=0,0,(F4-D4)/ABS(D4))</f>
        <v>7.79894004875488</v>
      </c>
    </row>
    <row r="4" customFormat="false" ht="15" hidden="false" customHeight="true" outlineLevel="0" collapsed="false">
      <c r="A4" s="7" t="s">
        <v>51</v>
      </c>
      <c r="B4" s="18" t="n">
        <v>60637</v>
      </c>
      <c r="C4" s="18" t="n">
        <v>78426</v>
      </c>
      <c r="D4" s="18" t="n">
        <v>139063</v>
      </c>
      <c r="E4" s="18" t="n">
        <v>475276</v>
      </c>
      <c r="F4" s="18" t="n">
        <v>1223607</v>
      </c>
      <c r="G4" s="35"/>
    </row>
    <row r="5" customFormat="false" ht="15" hidden="false" customHeight="true" outlineLevel="0" collapsed="false">
      <c r="A5" s="7" t="s">
        <v>37</v>
      </c>
      <c r="B5" s="18" t="n">
        <v>102000</v>
      </c>
      <c r="C5" s="18" t="n">
        <v>168000</v>
      </c>
      <c r="D5" s="18" t="n">
        <v>270000</v>
      </c>
      <c r="E5" s="18" t="n">
        <v>420000</v>
      </c>
      <c r="F5" s="18" t="n">
        <v>660000</v>
      </c>
      <c r="G5" s="35"/>
    </row>
    <row r="6" customFormat="false" ht="15" hidden="false" customHeight="true" outlineLevel="0" collapsed="false">
      <c r="A6" s="21" t="s">
        <v>52</v>
      </c>
      <c r="B6" s="33" t="n">
        <v>-41363</v>
      </c>
      <c r="C6" s="33" t="n">
        <v>-89574</v>
      </c>
      <c r="D6" s="33" t="n">
        <v>-130937</v>
      </c>
      <c r="E6" s="33" t="n">
        <v>35276</v>
      </c>
      <c r="F6" s="33" t="n">
        <v>574854</v>
      </c>
      <c r="G6" s="36" t="s">
        <v>53</v>
      </c>
    </row>
    <row r="7" customFormat="false" ht="15" hidden="false" customHeight="true" outlineLevel="0" collapsed="false">
      <c r="A7" s="21" t="s">
        <v>54</v>
      </c>
      <c r="B7" s="37" t="n">
        <f aca="false">'AI Chatbot'!B14</f>
        <v>-3227.05769230769</v>
      </c>
      <c r="C7" s="37" t="n">
        <f aca="false">'Data Services'!B14</f>
        <v>-0.514187327823692</v>
      </c>
      <c r="D7" s="37" t="n">
        <f aca="false">IF(D4=0,0,D6/D4)</f>
        <v>-0.941566052796215</v>
      </c>
      <c r="E7" s="37" t="n">
        <f aca="false">IF(E4=0,0,E6/E4)</f>
        <v>0.0742221361903399</v>
      </c>
      <c r="F7" s="37" t="n">
        <f aca="false">IF(F4=0,0,F6/F4)</f>
        <v>0.469802804331783</v>
      </c>
      <c r="G7" s="38" t="s">
        <v>55</v>
      </c>
    </row>
    <row r="10" customFormat="false" ht="15" hidden="false" customHeight="true" outlineLevel="0" collapsed="false">
      <c r="A10" s="3" t="s">
        <v>56</v>
      </c>
      <c r="B10" s="3"/>
      <c r="C10" s="3"/>
      <c r="D10" s="3"/>
      <c r="E10" s="3"/>
      <c r="F10" s="3"/>
      <c r="G10" s="3"/>
    </row>
    <row r="11" customFormat="false" ht="18" hidden="false" customHeight="true" outlineLevel="0" collapsed="false">
      <c r="A11" s="39" t="s">
        <v>57</v>
      </c>
      <c r="B11" s="39"/>
      <c r="C11" s="39"/>
      <c r="D11" s="39"/>
      <c r="E11" s="39"/>
      <c r="F11" s="39"/>
      <c r="G11" s="39"/>
    </row>
    <row r="12" customFormat="false" ht="18" hidden="false" customHeight="true" outlineLevel="0" collapsed="false">
      <c r="A12" s="39" t="s">
        <v>58</v>
      </c>
      <c r="B12" s="39"/>
      <c r="C12" s="39"/>
      <c r="D12" s="39"/>
      <c r="E12" s="39"/>
      <c r="F12" s="39"/>
      <c r="G12" s="39"/>
    </row>
    <row r="13" customFormat="false" ht="18" hidden="false" customHeight="true" outlineLevel="0" collapsed="false">
      <c r="A13" s="39" t="s">
        <v>59</v>
      </c>
      <c r="B13" s="39"/>
      <c r="C13" s="39"/>
      <c r="D13" s="39"/>
      <c r="E13" s="39"/>
      <c r="F13" s="39"/>
      <c r="G13" s="39"/>
    </row>
    <row r="14" customFormat="false" ht="18" hidden="false" customHeight="true" outlineLevel="0" collapsed="false">
      <c r="A14" s="39" t="s">
        <v>60</v>
      </c>
      <c r="B14" s="39"/>
      <c r="C14" s="39"/>
      <c r="D14" s="39"/>
      <c r="E14" s="39"/>
      <c r="F14" s="39"/>
      <c r="G14" s="39"/>
    </row>
  </sheetData>
  <mergeCells count="6">
    <mergeCell ref="A1:G1"/>
    <mergeCell ref="A10:G10"/>
    <mergeCell ref="A11:G11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61</v>
      </c>
      <c r="B1" s="2"/>
      <c r="C1" s="2"/>
    </row>
    <row r="2" customFormat="false" ht="15" hidden="false" customHeight="true" outlineLevel="0" collapsed="false">
      <c r="A2" s="4" t="s">
        <v>31</v>
      </c>
      <c r="B2" s="40" t="s">
        <v>62</v>
      </c>
      <c r="C2" s="4" t="s">
        <v>63</v>
      </c>
    </row>
    <row r="3" customFormat="false" ht="15" hidden="false" customHeight="true" outlineLevel="0" collapsed="false">
      <c r="A3" s="7" t="s">
        <v>64</v>
      </c>
      <c r="B3" s="10" t="n">
        <v>5500</v>
      </c>
      <c r="C3" s="41" t="s">
        <v>65</v>
      </c>
    </row>
    <row r="4" customFormat="false" ht="15" hidden="false" customHeight="true" outlineLevel="0" collapsed="false">
      <c r="A4" s="7" t="s">
        <v>7</v>
      </c>
      <c r="B4" s="8" t="n">
        <v>3</v>
      </c>
      <c r="C4" s="41" t="s">
        <v>66</v>
      </c>
    </row>
    <row r="5" customFormat="false" ht="15" hidden="false" customHeight="true" outlineLevel="0" collapsed="false">
      <c r="A5" s="21" t="s">
        <v>67</v>
      </c>
      <c r="B5" s="17" t="n">
        <v>3</v>
      </c>
      <c r="C5" s="41" t="s">
        <v>68</v>
      </c>
    </row>
    <row r="6" customFormat="false" ht="15" hidden="false" customHeight="true" outlineLevel="0" collapsed="false">
      <c r="A6" s="16"/>
      <c r="B6" s="42" t="n">
        <f aca="false">B4/B5</f>
        <v>1</v>
      </c>
      <c r="C6" s="16"/>
    </row>
    <row r="7" customFormat="false" ht="15" hidden="false" customHeight="true" outlineLevel="0" collapsed="false">
      <c r="A7" s="7" t="s">
        <v>69</v>
      </c>
      <c r="B7" s="10" t="n">
        <v>299</v>
      </c>
      <c r="C7" s="41" t="s">
        <v>70</v>
      </c>
    </row>
    <row r="8" customFormat="false" ht="15" hidden="false" customHeight="true" outlineLevel="0" collapsed="false">
      <c r="A8" s="7" t="s">
        <v>71</v>
      </c>
      <c r="B8" s="9" t="n">
        <v>0.65</v>
      </c>
      <c r="C8" s="41" t="s">
        <v>72</v>
      </c>
    </row>
    <row r="9" customFormat="false" ht="15" hidden="false" customHeight="true" outlineLevel="0" collapsed="false">
      <c r="A9" s="7" t="s">
        <v>73</v>
      </c>
      <c r="B9" s="43" t="n">
        <v>299</v>
      </c>
      <c r="C9" s="41" t="s">
        <v>74</v>
      </c>
    </row>
    <row r="10" customFormat="false" ht="15" hidden="false" customHeight="true" outlineLevel="0" collapsed="false">
      <c r="A10" s="7" t="s">
        <v>75</v>
      </c>
      <c r="B10" s="44" t="n">
        <v>0.65</v>
      </c>
      <c r="C10" s="41" t="s">
        <v>76</v>
      </c>
    </row>
    <row r="11" customFormat="false" ht="15" hidden="false" customHeight="true" outlineLevel="0" collapsed="false">
      <c r="A11" s="21" t="s">
        <v>77</v>
      </c>
      <c r="B11" s="44" t="n">
        <v>0.03</v>
      </c>
      <c r="C11" s="41" t="s">
        <v>78</v>
      </c>
    </row>
    <row r="12" customFormat="false" ht="15" hidden="false" customHeight="true" outlineLevel="0" collapsed="false">
      <c r="A12" s="21" t="s">
        <v>79</v>
      </c>
      <c r="B12" s="45" t="n">
        <f aca="false">1/B11</f>
        <v>33.3333333333333</v>
      </c>
      <c r="C12" s="41" t="s">
        <v>80</v>
      </c>
    </row>
    <row r="13" customFormat="false" ht="15" hidden="false" customHeight="true" outlineLevel="0" collapsed="false">
      <c r="A13" s="21" t="s">
        <v>24</v>
      </c>
      <c r="B13" s="46" t="n">
        <f aca="false">B9*B10*B12</f>
        <v>6478.33333333333</v>
      </c>
      <c r="C13" s="41" t="s">
        <v>81</v>
      </c>
    </row>
    <row r="14" customFormat="false" ht="15" hidden="false" customHeight="true" outlineLevel="0" collapsed="false">
      <c r="A14" s="16"/>
      <c r="B14" s="47" t="n">
        <f aca="false">B13/B6</f>
        <v>6478.33333333333</v>
      </c>
      <c r="C14" s="16"/>
    </row>
    <row r="15" customFormat="false" ht="15" hidden="false" customHeight="true" outlineLevel="0" collapsed="false">
      <c r="A15" s="7" t="s">
        <v>82</v>
      </c>
      <c r="B15" s="48" t="n">
        <f aca="false">B6/(B9*B10)</f>
        <v>0.00514535631592488</v>
      </c>
      <c r="C15" s="41" t="s">
        <v>83</v>
      </c>
    </row>
    <row r="16" customFormat="false" ht="15" hidden="false" customHeight="true" outlineLevel="0" collapsed="false">
      <c r="A16" s="7" t="s">
        <v>84</v>
      </c>
      <c r="B16" s="49" t="n">
        <f aca="false">1/B18</f>
        <v>16.6666666666667</v>
      </c>
      <c r="C16" s="41"/>
    </row>
    <row r="17" customFormat="false" ht="15" hidden="false" customHeight="true" outlineLevel="0" collapsed="false">
      <c r="A17" s="7" t="s">
        <v>85</v>
      </c>
      <c r="B17" s="18" t="n">
        <f aca="false">B9*B10*B19</f>
        <v>3239.16666666667</v>
      </c>
      <c r="C17" s="41"/>
    </row>
    <row r="18" customFormat="false" ht="15" hidden="false" customHeight="true" outlineLevel="0" collapsed="false">
      <c r="A18" s="21" t="s">
        <v>86</v>
      </c>
      <c r="B18" s="44" t="n">
        <v>0.06</v>
      </c>
      <c r="C18" s="41" t="s">
        <v>87</v>
      </c>
    </row>
    <row r="19" customFormat="false" ht="15" hidden="false" customHeight="false" outlineLevel="0" collapsed="false">
      <c r="B19" s="50" t="n">
        <f aca="false">1/B18</f>
        <v>16.6666666666667</v>
      </c>
    </row>
    <row r="20" customFormat="false" ht="15" hidden="false" customHeight="false" outlineLevel="0" collapsed="false">
      <c r="B20" s="51" t="n">
        <f aca="false">B9*B10*B19</f>
        <v>3239.16666666667</v>
      </c>
    </row>
    <row r="21" customFormat="false" ht="15" hidden="false" customHeight="false" outlineLevel="0" collapsed="false">
      <c r="B21" s="52" t="n">
        <f aca="false">B20/B6</f>
        <v>3239.16666666667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2026-05-12T21:41:12Z</dcterms:created>
  <dc:creator>openpyxl</dc:creator>
  <dc:description/>
  <dc:language>en-US</dc:language>
  <cp:lastModifiedBy/>
  <dcterms:modified xsi:type="dcterms:W3CDTF">2026-05-12T21:41:50Z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