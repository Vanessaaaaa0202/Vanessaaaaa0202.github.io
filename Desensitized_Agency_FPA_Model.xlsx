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vanessalei/Downloads/"/>
    </mc:Choice>
  </mc:AlternateContent>
  <xr:revisionPtr revIDLastSave="0" documentId="13_ncr:1_{3EA386BA-3688-7C40-8BD1-A0765C119523}" xr6:coauthVersionLast="47" xr6:coauthVersionMax="47" xr10:uidLastSave="{00000000-0000-0000-0000-000000000000}"/>
  <bookViews>
    <workbookView xWindow="900" yWindow="760" windowWidth="29340" windowHeight="17200" tabRatio="500" xr2:uid="{00000000-000D-0000-FFFF-FFFF00000000}"/>
  </bookViews>
  <sheets>
    <sheet name="Assumptions" sheetId="1" r:id="rId1"/>
    <sheet name="Pipeline Waterfall" sheetId="2" r:id="rId2"/>
    <sheet name="Revenue Recognition" sheetId="3" r:id="rId3"/>
    <sheet name="Cash Flow Bridge" sheetId="4" r:id="rId4"/>
    <sheet name="Scenario Analysis" sheetId="5" r:id="rId5"/>
  </sheets>
  <externalReferences>
    <externalReference r:id="rId6"/>
  </externalReference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12" i="4" l="1"/>
  <c r="N9" i="4"/>
  <c r="N8" i="4"/>
  <c r="N6" i="4"/>
  <c r="N5" i="4"/>
  <c r="M14" i="3"/>
  <c r="L14" i="3"/>
  <c r="K14" i="3"/>
  <c r="J14" i="3"/>
  <c r="I14" i="3"/>
  <c r="H14" i="3"/>
  <c r="G14" i="3"/>
  <c r="F14" i="3"/>
  <c r="E14" i="3"/>
  <c r="D14" i="3"/>
  <c r="C14" i="3"/>
  <c r="B14" i="3"/>
  <c r="N13" i="3"/>
  <c r="N12" i="3"/>
  <c r="N9" i="3"/>
  <c r="N8" i="3"/>
  <c r="N7" i="3"/>
  <c r="N6" i="3"/>
  <c r="N5" i="3"/>
  <c r="N9" i="2"/>
  <c r="N8" i="2"/>
  <c r="N7" i="2"/>
  <c r="N6" i="2"/>
  <c r="N5" i="2"/>
</calcChain>
</file>

<file path=xl/sharedStrings.xml><?xml version="1.0" encoding="utf-8"?>
<sst xmlns="http://schemas.openxmlformats.org/spreadsheetml/2006/main" count="338" uniqueCount="255">
  <si>
    <t>Surrogacy Agency – FP&amp;A Model Assumptions</t>
  </si>
  <si>
    <t>Blue cells = hardcoded inputs (change to update model)  |  Black cells = formulas</t>
  </si>
  <si>
    <t>Parameter</t>
  </si>
  <si>
    <t>Value</t>
  </si>
  <si>
    <t>Unit / Note</t>
  </si>
  <si>
    <t>Source</t>
  </si>
  <si>
    <t>── REVENUE DRIVERS ──</t>
  </si>
  <si>
    <t>New cases signed per month</t>
  </si>
  <si>
    <t>cases/month</t>
  </si>
  <si>
    <t>FP&amp;A estimate</t>
  </si>
  <si>
    <t>Agency fee per case (total)</t>
  </si>
  <si>
    <t>USD</t>
  </si>
  <si>
    <t>Market: $120k–$160k</t>
  </si>
  <si>
    <t xml:space="preserve">  Milestone 1 – Match complete</t>
  </si>
  <si>
    <t>USD (M1)</t>
  </si>
  <si>
    <t>14% of total fee</t>
  </si>
  <si>
    <t xml:space="preserve">  Milestone 2 – Transfer confirmed</t>
  </si>
  <si>
    <t>USD (M2)</t>
  </si>
  <si>
    <t>28% of total fee</t>
  </si>
  <si>
    <t xml:space="preserve">  Milestone 3 – Live birth</t>
  </si>
  <si>
    <t>USD (M3)</t>
  </si>
  <si>
    <t>58% of total fee</t>
  </si>
  <si>
    <t xml:space="preserve">  Ancillary services (per M3 case)</t>
  </si>
  <si>
    <t>Legal / translation / escort</t>
  </si>
  <si>
    <t>Transfer success rate</t>
  </si>
  <si>
    <t>%</t>
  </si>
  <si>
    <t>Clinical benchmark</t>
  </si>
  <si>
    <t>Live birth rate per transfer</t>
  </si>
  <si>
    <t>Case cancellation rate (annual)</t>
  </si>
  <si>
    <t>Historical avg</t>
  </si>
  <si>
    <t>Avg months: sign → M1</t>
  </si>
  <si>
    <t>months</t>
  </si>
  <si>
    <t>Matching timeline</t>
  </si>
  <si>
    <t>Avg months: M1 → M2</t>
  </si>
  <si>
    <t>IVF cycle</t>
  </si>
  <si>
    <t>Avg months: M2 → M3</t>
  </si>
  <si>
    <t>Gestation</t>
  </si>
  <si>
    <t>── OPENING PIPELINE ──</t>
  </si>
  <si>
    <t>Pre-match cases (stock)</t>
  </si>
  <si>
    <t>cases</t>
  </si>
  <si>
    <t>Snapshot month 0</t>
  </si>
  <si>
    <t>Post-match / pre-transfer (stock)</t>
  </si>
  <si>
    <t>Post-transfer / pregnancy (stock)</t>
  </si>
  <si>
    <t>── COST DRIVERS (GROSS BASIS) ──</t>
  </si>
  <si>
    <t>Surrogate base compensation</t>
  </si>
  <si>
    <t>USD / case</t>
  </si>
  <si>
    <t>Industry standard</t>
  </si>
  <si>
    <t>Medical / IVF costs</t>
  </si>
  <si>
    <t>Clinic fees</t>
  </si>
  <si>
    <t>Legal fees (both parties)</t>
  </si>
  <si>
    <t>Attorney costs</t>
  </si>
  <si>
    <t>Case manager labour allocation</t>
  </si>
  <si>
    <t>FTE cost allocation</t>
  </si>
  <si>
    <t>── OPEX (MONTHLY, $000s) ──</t>
  </si>
  <si>
    <t>Salaries &amp; benefits</t>
  </si>
  <si>
    <t>$000 / month</t>
  </si>
  <si>
    <t>Multi-location staff</t>
  </si>
  <si>
    <t>Office &amp; facilities</t>
  </si>
  <si>
    <t>LA + NY + remote</t>
  </si>
  <si>
    <t>Marketing &amp; BD</t>
  </si>
  <si>
    <t>Digital + events</t>
  </si>
  <si>
    <t>Legal &amp; compliance</t>
  </si>
  <si>
    <t>Regulatory</t>
  </si>
  <si>
    <t>G&amp;A other</t>
  </si>
  <si>
    <t>Tech / insurance etc</t>
  </si>
  <si>
    <t>Module 1 – Pipeline Waterfall  |  Rolling 12-Month Forecast</t>
  </si>
  <si>
    <t>Metric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</si>
  <si>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</si>
  <si>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</si>
  <si>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</si>
  <si>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</si>
  <si>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</si>
  <si>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</si>
  <si>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</si>
  <si>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</si>
  <si>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</si>
  <si>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</si>
  <si>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</si>
  <si>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</si>
  <si>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FY Total</t>
  </si>
  <si>
    <t>Opening active cases</t>
  </si>
  <si>
    <t>+ New cases signed</t>
  </si>
  <si>
    <t>M1 triggered (match)</t>
  </si>
  <si>
    <t>M2 triggered (transfer)</t>
  </si>
  <si>
    <t>M3 triggered (birth)</t>
  </si>
  <si>
    <t>− Cancellations</t>
  </si>
  <si>
    <t>Closing active cases</t>
  </si>
  <si>
    <t>Module 2 – Revenue Recognition  |  Milestone-Based P&amp;L  ($000s)</t>
  </si>
  <si>
    <t>Revenue Line</t>
  </si>
  <si>
    <t>Revenue</t>
  </si>
  <si>
    <t>M1 revenue ($20k × triggers)</t>
  </si>
  <si>
    <t>M2 revenue ($38k × triggers)</t>
  </si>
  <si>
    <t>M3 revenue ($80k × triggers)</t>
  </si>
  <si>
    <t>Ancillary services ($15k × M3)</t>
  </si>
  <si>
    <t>Total Revenue ($000s)</t>
  </si>
  <si>
    <t>Costs</t>
  </si>
  <si>
    <t>Direct costs ($90k × M3)</t>
  </si>
  <si>
    <t>Gross Profit ($000s)</t>
  </si>
  <si>
    <t>Gross margin %</t>
  </si>
  <si>
    <t>Module 3 – Cash Flow Timing Bridge  |  P&amp;L vs Liquidity  ($000s)</t>
  </si>
  <si>
    <t>Cash Flow Item</t>
  </si>
  <si>
    <t>── CASH INFLOWS ──</t>
  </si>
  <si>
    <t>New client prepayment (escrow-in, $80k/case)</t>
  </si>
  <si>
    <t>Escrow milestone releases</t>
  </si>
  <si>
    <t>── CASH OUTFLOWS ──</t>
  </si>
  <si>
    <t>Direct costs paid (surrogate / medical / legal)</t>
  </si>
  <si>
    <t>Operating expenses</t>
  </si>
  <si>
    <t>── MEMO: BALANCE SHEET ──</t>
  </si>
  <si>
    <t>Deferred revenue balance (liability)</t>
  </si>
  <si>
    <t>Net Operating Cash (excl new prepays)</t>
  </si>
  <si>
    <t>Downside</t>
  </si>
  <si>
    <t>Base Case</t>
  </si>
  <si>
    <t>Upside</t>
  </si>
  <si>
    <t>New cases / month</t>
  </si>
  <si>
    <t>−43%</t>
  </si>
  <si>
    <t>+33%</t>
  </si>
  <si>
    <t>+34%</t>
  </si>
  <si>
    <t>−44%</t>
  </si>
  <si>
    <t>n/m</t>
  </si>
  <si>
    <t>⚠</t>
  </si>
  <si>
    <t>✓</t>
  </si>
  <si>
    <t>Chart data (for chart only)</t>
  </si>
  <si>
    <t>Month</t>
  </si>
  <si>
    <t>M1 revenue</t>
  </si>
  <si>
    <t>M2 revenue</t>
  </si>
  <si>
    <t>M3+ancillary</t>
  </si>
  <si>
    <t>Direct costs</t>
  </si>
  <si>
    <t>Chart data</t>
  </si>
  <si>
    <t>P&amp;L Gross Profit</t>
  </si>
  <si>
    <t>Net Op Cash</t>
  </si>
  <si>
    <t>Module 4 – Scenario Analysis  |  Logic, Assumptions &amp; Results</t>
  </si>
  <si>
    <t>PART A – Input Driver Assumptions</t>
  </si>
  <si>
    <t>Driver</t>
  </si>
  <si>
    <t>Base</t>
  </si>
  <si>
    <t>Unit</t>
  </si>
  <si>
    <t>Rationale</t>
  </si>
  <si>
    <t>cases/mo</t>
  </si>
  <si>
    <t>BD pipeline; sensitivity to policy &amp; competition</t>
  </si>
  <si>
    <t>Clinical outcome; IVF benchmark 55–75%</t>
  </si>
  <si>
    <t>Cancellation rate (ann)</t>
  </si>
  <si>
    <t>Client financial stress; historical avg 8%</t>
  </si>
  <si>
    <t>M3 avg months from M2</t>
  </si>
  <si>
    <t>Gestation + delivery timing</t>
  </si>
  <si>
    <t>Ancillary attach rate</t>
  </si>
  <si>
    <t>×</t>
  </si>
  <si>
    <t>% of M3 cases that take ancillary services</t>
  </si>
  <si>
    <t>PART B – Calculation Logic (Step-by-Step)</t>
  </si>
  <si>
    <t>Step</t>
  </si>
  <si>
    <t>Formula / Logic</t>
  </si>
  <si>
    <t>Downside result</t>
  </si>
  <si>
    <t>Base result</t>
  </si>
  <si>
    <t>Upside result</t>
  </si>
  <si>
    <t>1  New cases in 12 months</t>
  </si>
  <si>
    <t>cases/month × 12</t>
  </si>
  <si>
    <t>72</t>
  </si>
  <si>
    <t>120</t>
  </si>
  <si>
    <t>156</t>
  </si>
  <si>
    <t>2  M1 triggers (matches)</t>
  </si>
  <si>
    <t>≈ new cases × 0.55
(~55% convert within month)</t>
  </si>
  <si>
    <t>~40</t>
  </si>
  <si>
    <t>~66</t>
  </si>
  <si>
    <t>~86</t>
  </si>
  <si>
    <t>3  M2 triggers (transfers)</t>
  </si>
  <si>
    <t>M1 triggers × transfer_rate
(applied to post-match stock)</t>
  </si>
  <si>
    <t>~22</t>
  </si>
  <si>
    <t>~46</t>
  </si>
  <si>
    <t>~65</t>
  </si>
  <si>
    <t>4  M3 triggers (births)</t>
  </si>
  <si>
    <t>M2 triggers × live_birth_rate (65%) + existing pregnancy stock progression</t>
  </si>
  <si>
    <t>~34</t>
  </si>
  <si>
    <t>~61</t>
  </si>
  <si>
    <t>~82</t>
  </si>
  <si>
    <t>5  M1 revenue</t>
  </si>
  <si>
    <t>M1 triggers × $20,000</t>
  </si>
  <si>
    <t>$800K</t>
  </si>
  <si>
    <t>$1,320K</t>
  </si>
  <si>
    <t>$1,720K</t>
  </si>
  <si>
    <t>6  M2 revenue</t>
  </si>
  <si>
    <t>M2 triggers × $38,000</t>
  </si>
  <si>
    <t>$836K</t>
  </si>
  <si>
    <t>$1,748K</t>
  </si>
  <si>
    <t>$2,470K</t>
  </si>
  <si>
    <t>7  M3 + ancillary revenue</t>
  </si>
  <si>
    <t>M3 triggers × ($80,000 + $15,000)</t>
  </si>
  <si>
    <t>$3,230K</t>
  </si>
  <si>
    <t>$5,795K</t>
  </si>
  <si>
    <t>$7,790K</t>
  </si>
  <si>
    <t>8  Total revenue</t>
  </si>
  <si>
    <t>M1 + M2 + M3+anc revenue</t>
  </si>
  <si>
    <t>$6,100K</t>
  </si>
  <si>
    <t>$10,700K (=$10.7M)</t>
  </si>
  <si>
    <t>$14,200K</t>
  </si>
  <si>
    <t>9  Direct costs</t>
  </si>
  <si>
    <t>M3 triggers × $90,000
(surrogate $45k + medical $25k + legal $12k + labour $8k)</t>
  </si>
  <si>
    <t>$3,060K</t>
  </si>
  <si>
    <t>$5,490K</t>
  </si>
  <si>
    <t>$7,380K</t>
  </si>
  <si>
    <t>10 Gross profit</t>
  </si>
  <si>
    <t>Total revenue − Direct costs</t>
  </si>
  <si>
    <t>$1,040K (17%)</t>
  </si>
  <si>
    <t>$5,210K (49%)</t>
  </si>
  <si>
    <t>$6,820K (48%)</t>
  </si>
  <si>
    <t>11 Operating expenses</t>
  </si>
  <si>
    <t>Fixed ~$380K/month × 12</t>
  </si>
  <si>
    <t>$4,560K</t>
  </si>
  <si>
    <t>12 EBIT</t>
  </si>
  <si>
    <t>Gross profit − OpEx</t>
  </si>
  <si>
    <t>−$3,520K  ⚠</t>
  </si>
  <si>
    <t>$650K</t>
  </si>
  <si>
    <t>$2,260K</t>
  </si>
  <si>
    <t>13 Cash risk flag</t>
  </si>
  <si>
    <t>If net op cash &lt; $100K → flag</t>
  </si>
  <si>
    <t>YES – liquidity crisis</t>
  </si>
  <si>
    <t>Safe</t>
  </si>
  <si>
    <t>Healthy</t>
  </si>
  <si>
    <t>PART C – Annual Output Summary</t>
  </si>
  <si>
    <t>Down vs Base</t>
  </si>
  <si>
    <t>Up vs Base</t>
  </si>
  <si>
    <t>Full-year revenue</t>
  </si>
  <si>
    <t>$6.1M</t>
  </si>
  <si>
    <t>$10.7M</t>
  </si>
  <si>
    <t>$14.2M</t>
  </si>
  <si>
    <t>Gross profit</t>
  </si>
  <si>
    <t>$1.0M</t>
  </si>
  <si>
    <t>$5.2M</t>
  </si>
  <si>
    <t>$6.8M</t>
  </si>
  <si>
    <t>−81%</t>
  </si>
  <si>
    <t>+31%</t>
  </si>
  <si>
    <t>17%</t>
  </si>
  <si>
    <t>49%</t>
  </si>
  <si>
    <t>48%</t>
  </si>
  <si>
    <t>−32pp</t>
  </si>
  <si>
    <t>+0pp</t>
  </si>
  <si>
    <t>EBIT</t>
  </si>
  <si>
    <t>−$3.5M</t>
  </si>
  <si>
    <t>$0.7M</t>
  </si>
  <si>
    <t>$2.3M</t>
  </si>
  <si>
    <t>+$1.6M</t>
  </si>
  <si>
    <t>M3 cases triggered</t>
  </si>
  <si>
    <t>34</t>
  </si>
  <si>
    <t>61</t>
  </si>
  <si>
    <t>82</t>
  </si>
  <si>
    <t>Monthly free cash</t>
  </si>
  <si>
    <t>&lt;$10K</t>
  </si>
  <si>
    <t>~$15K</t>
  </si>
  <si>
    <t>~$85K</t>
  </si>
  <si>
    <t>Liquidity risk flag</t>
  </si>
  <si>
    <t>YES</t>
  </si>
  <si>
    <t>Monitor</t>
  </si>
  <si>
    <t>Low</t>
  </si>
  <si>
    <t>—</t>
  </si>
  <si>
    <t>Scenario</t>
  </si>
  <si>
    <t>Revenue($M)</t>
  </si>
  <si>
    <t>Gross Profit($M)</t>
  </si>
  <si>
    <t>EBIT($M)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</si>
</sst>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"/>
    <numFmt numFmtId="165" formatCode="0.0%"/>
    <numFmt numFmtId="166" formatCode="#,##0;\(#,##0\);\-"/>
    <numFmt numFmtId="167" formatCode="\$#,##0;&quot;($&quot;#,##0\);\-"/>
    <numFmt numFmtId="172" formatCode="0.0"/>
  </numFmts>
  <fonts count="31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1F4E79"/>
      <name val="Arial"/>
      <family val="2"/>
    </font>
    <font>
      <i/>
      <sz val="9"/>
      <color rgb="FF595959"/>
      <name val="Arial"/>
      <family val="2"/>
    </font>
    <font>
      <b/>
      <sz val="11"/>
      <color rgb="FFFFFFFF"/>
      <name val="Arial"/>
      <family val="2"/>
    </font>
    <font>
      <b/>
      <sz val="10"/>
      <color rgb="FF1F4E79"/>
      <name val="Arial"/>
      <family val="2"/>
    </font>
    <font>
      <sz val="10"/>
      <color rgb="FF0000FF"/>
      <name val="Arial"/>
      <family val="2"/>
    </font>
    <font>
      <sz val="10"/>
      <color rgb="FF595959"/>
      <name val="Arial"/>
      <family val="2"/>
    </font>
    <font>
      <sz val="9"/>
      <color rgb="FF595959"/>
      <name val="Arial"/>
      <family val="2"/>
    </font>
    <font>
      <b/>
      <sz val="13"/>
      <color rgb="FF1F4E79"/>
      <name val="Arial"/>
      <family val="2"/>
    </font>
    <font>
      <sz val="10"/>
      <color rgb="FF000000"/>
      <name val="Arial"/>
      <family val="2"/>
    </font>
    <font>
      <b/>
      <sz val="10"/>
      <color rgb="FF0000FF"/>
      <name val="Arial"/>
      <family val="2"/>
    </font>
    <font>
      <b/>
      <sz val="10"/>
      <color rgb="FF185FA5"/>
      <name val="Arial"/>
      <family val="2"/>
    </font>
    <font>
      <b/>
      <sz val="10"/>
      <color rgb="FF0F6E56"/>
      <name val="Arial"/>
      <family val="2"/>
    </font>
    <font>
      <sz val="10"/>
      <color rgb="FF993C1D"/>
      <name val="Arial"/>
      <family val="2"/>
    </font>
    <font>
      <b/>
      <sz val="10"/>
      <color rgb="FF993C1D"/>
      <name val="Arial"/>
      <family val="2"/>
    </font>
    <font>
      <sz val="10"/>
      <color rgb="FF185FA5"/>
      <name val="Arial"/>
      <family val="2"/>
    </font>
    <font>
      <sz val="10"/>
      <color rgb="FF0F6E56"/>
      <name val="Arial"/>
      <family val="2"/>
    </font>
    <font>
      <sz val="10"/>
      <color rgb="FF854F0B"/>
      <name val="Arial"/>
      <family val="2"/>
    </font>
    <font>
      <b/>
      <sz val="10"/>
      <color rgb="FF854F0B"/>
      <name val="Arial"/>
      <family val="2"/>
    </font>
    <font>
      <i/>
      <sz val="10"/>
      <color rgb="FF0F6E56"/>
      <name val="Arial"/>
      <family val="2"/>
    </font>
    <font>
      <sz val="10"/>
      <color rgb="FF791F1F"/>
      <name val="Arial"/>
      <family val="2"/>
    </font>
    <font>
      <b/>
      <sz val="10"/>
      <color rgb="FF0C447C"/>
      <name val="Arial"/>
      <family val="2"/>
    </font>
    <font>
      <sz val="10"/>
      <color rgb="FF27500A"/>
      <name val="Arial"/>
      <family val="2"/>
    </font>
    <font>
      <b/>
      <sz val="10"/>
      <color rgb="FFFFFFFF"/>
      <name val="Arial"/>
      <family val="2"/>
    </font>
    <font>
      <i/>
      <sz val="9"/>
      <color rgb="FFAAAAAA"/>
      <name val="Arial"/>
      <family val="2"/>
    </font>
    <font>
      <sz val="9"/>
      <color rgb="FF185FA5"/>
      <name val="Arial"/>
      <family val="2"/>
    </font>
    <font>
      <sz val="9"/>
      <color rgb="FF0F6E56"/>
      <name val="Arial"/>
      <family val="2"/>
    </font>
    <font>
      <sz val="9"/>
      <color rgb="FF854F0B"/>
      <name val="Arial"/>
      <family val="2"/>
    </font>
    <font>
      <sz val="9"/>
      <color rgb="FF993C1D"/>
      <name val="Arial"/>
      <family val="2"/>
    </font>
    <font>
      <sz val="10"/>
      <color rgb="FF0C447C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C447C"/>
      </patternFill>
    </fill>
    <fill>
      <patternFill patternType="solid">
        <fgColor rgb="FFD6E4F0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D6E4F0"/>
        <bgColor rgb="FFD9D9D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auto="1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5" fillId="3" borderId="2" xfId="0" applyFont="1" applyFill="1" applyBorder="1" applyAlignment="1">
      <alignment horizontal="left" vertical="center" indent="1"/>
    </xf>
    <xf numFmtId="0" fontId="9" fillId="0" borderId="0" xfId="0" applyFont="1" applyAlignment="1">
      <alignment horizontal="left" vertical="center"/>
    </xf>
    <xf numFmtId="0" fontId="5" fillId="3" borderId="0" xfId="0" applyFont="1" applyFill="1" applyAlignment="1">
      <alignment horizontal="left" vertical="center" indent="1"/>
    </xf>
    <xf numFmtId="0" fontId="3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right"/>
    </xf>
    <xf numFmtId="0" fontId="7" fillId="0" borderId="0" xfId="0" applyFont="1"/>
    <xf numFmtId="0" fontId="8" fillId="0" borderId="0" xfId="0" applyFont="1"/>
    <xf numFmtId="164" fontId="6" fillId="4" borderId="0" xfId="0" applyNumberFormat="1" applyFont="1" applyFill="1" applyAlignment="1">
      <alignment horizontal="right"/>
    </xf>
    <xf numFmtId="165" fontId="6" fillId="4" borderId="0" xfId="0" applyNumberFormat="1" applyFont="1" applyFill="1" applyAlignment="1">
      <alignment horizontal="right"/>
    </xf>
    <xf numFmtId="3" fontId="6" fillId="4" borderId="0" xfId="0" applyNumberFormat="1" applyFont="1" applyFill="1" applyAlignment="1">
      <alignment horizontal="right"/>
    </xf>
    <xf numFmtId="0" fontId="10" fillId="5" borderId="0" xfId="0" applyFont="1" applyFill="1" applyAlignment="1">
      <alignment horizontal="left" indent="1"/>
    </xf>
    <xf numFmtId="166" fontId="10" fillId="5" borderId="1" xfId="0" applyNumberFormat="1" applyFont="1" applyFill="1" applyBorder="1" applyAlignment="1">
      <alignment horizontal="center"/>
    </xf>
    <xf numFmtId="0" fontId="6" fillId="4" borderId="0" xfId="0" applyFont="1" applyFill="1" applyAlignment="1">
      <alignment horizontal="left" indent="1"/>
    </xf>
    <xf numFmtId="166" fontId="6" fillId="4" borderId="1" xfId="0" applyNumberFormat="1" applyFont="1" applyFill="1" applyBorder="1" applyAlignment="1">
      <alignment horizontal="center"/>
    </xf>
    <xf numFmtId="3" fontId="11" fillId="4" borderId="0" xfId="0" applyNumberFormat="1" applyFont="1" applyFill="1" applyAlignment="1">
      <alignment horizontal="center"/>
    </xf>
    <xf numFmtId="0" fontId="12" fillId="6" borderId="0" xfId="0" applyFont="1" applyFill="1" applyAlignment="1">
      <alignment horizontal="left" indent="1"/>
    </xf>
    <xf numFmtId="166" fontId="12" fillId="6" borderId="1" xfId="0" applyNumberFormat="1" applyFont="1" applyFill="1" applyBorder="1" applyAlignment="1">
      <alignment horizontal="center"/>
    </xf>
    <xf numFmtId="3" fontId="12" fillId="6" borderId="0" xfId="0" applyNumberFormat="1" applyFont="1" applyFill="1" applyAlignment="1">
      <alignment horizontal="center"/>
    </xf>
    <xf numFmtId="0" fontId="13" fillId="7" borderId="0" xfId="0" applyFont="1" applyFill="1" applyAlignment="1">
      <alignment horizontal="left" indent="1"/>
    </xf>
    <xf numFmtId="166" fontId="13" fillId="7" borderId="1" xfId="0" applyNumberFormat="1" applyFont="1" applyFill="1" applyBorder="1" applyAlignment="1">
      <alignment horizontal="center"/>
    </xf>
    <xf numFmtId="3" fontId="13" fillId="7" borderId="0" xfId="0" applyNumberFormat="1" applyFont="1" applyFill="1" applyAlignment="1">
      <alignment horizontal="center"/>
    </xf>
    <xf numFmtId="0" fontId="14" fillId="8" borderId="0" xfId="0" applyFont="1" applyFill="1" applyAlignment="1">
      <alignment horizontal="left" indent="1"/>
    </xf>
    <xf numFmtId="166" fontId="14" fillId="8" borderId="1" xfId="0" applyNumberFormat="1" applyFont="1" applyFill="1" applyBorder="1" applyAlignment="1">
      <alignment horizontal="center"/>
    </xf>
    <xf numFmtId="3" fontId="15" fillId="8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left" indent="1"/>
    </xf>
    <xf numFmtId="166" fontId="5" fillId="3" borderId="1" xfId="0" applyNumberFormat="1" applyFont="1" applyFill="1" applyBorder="1" applyAlignment="1">
      <alignment horizontal="center"/>
    </xf>
    <xf numFmtId="0" fontId="5" fillId="3" borderId="2" xfId="0" applyFont="1" applyFill="1" applyBorder="1" applyAlignment="1">
      <alignment horizontal="left" vertical="center" indent="1"/>
    </xf>
    <xf numFmtId="0" fontId="16" fillId="6" borderId="0" xfId="0" applyFont="1" applyFill="1" applyAlignment="1">
      <alignment horizontal="left" indent="1"/>
    </xf>
    <xf numFmtId="167" fontId="16" fillId="6" borderId="1" xfId="0" applyNumberFormat="1" applyFont="1" applyFill="1" applyBorder="1" applyAlignment="1">
      <alignment horizontal="right"/>
    </xf>
    <xf numFmtId="164" fontId="12" fillId="6" borderId="0" xfId="0" applyNumberFormat="1" applyFont="1" applyFill="1"/>
    <xf numFmtId="0" fontId="17" fillId="6" borderId="0" xfId="0" applyFont="1" applyFill="1" applyAlignment="1">
      <alignment horizontal="left" indent="1"/>
    </xf>
    <xf numFmtId="167" fontId="17" fillId="6" borderId="1" xfId="0" applyNumberFormat="1" applyFont="1" applyFill="1" applyBorder="1" applyAlignment="1">
      <alignment horizontal="right"/>
    </xf>
    <xf numFmtId="164" fontId="13" fillId="6" borderId="0" xfId="0" applyNumberFormat="1" applyFont="1" applyFill="1"/>
    <xf numFmtId="0" fontId="18" fillId="6" borderId="0" xfId="0" applyFont="1" applyFill="1" applyAlignment="1">
      <alignment horizontal="left" indent="1"/>
    </xf>
    <xf numFmtId="167" fontId="18" fillId="6" borderId="1" xfId="0" applyNumberFormat="1" applyFont="1" applyFill="1" applyBorder="1" applyAlignment="1">
      <alignment horizontal="right"/>
    </xf>
    <xf numFmtId="164" fontId="19" fillId="6" borderId="0" xfId="0" applyNumberFormat="1" applyFont="1" applyFill="1"/>
    <xf numFmtId="0" fontId="18" fillId="5" borderId="0" xfId="0" applyFont="1" applyFill="1" applyAlignment="1">
      <alignment horizontal="left" indent="1"/>
    </xf>
    <xf numFmtId="167" fontId="18" fillId="5" borderId="1" xfId="0" applyNumberFormat="1" applyFont="1" applyFill="1" applyBorder="1" applyAlignment="1">
      <alignment horizontal="right"/>
    </xf>
    <xf numFmtId="164" fontId="19" fillId="5" borderId="0" xfId="0" applyNumberFormat="1" applyFont="1" applyFill="1"/>
    <xf numFmtId="164" fontId="5" fillId="3" borderId="1" xfId="0" applyNumberFormat="1" applyFont="1" applyFill="1" applyBorder="1"/>
    <xf numFmtId="164" fontId="5" fillId="3" borderId="0" xfId="0" applyNumberFormat="1" applyFont="1" applyFill="1"/>
    <xf numFmtId="167" fontId="14" fillId="8" borderId="1" xfId="0" applyNumberFormat="1" applyFont="1" applyFill="1" applyBorder="1" applyAlignment="1">
      <alignment horizontal="right"/>
    </xf>
    <xf numFmtId="164" fontId="15" fillId="8" borderId="0" xfId="0" applyNumberFormat="1" applyFont="1" applyFill="1"/>
    <xf numFmtId="164" fontId="13" fillId="7" borderId="1" xfId="0" applyNumberFormat="1" applyFont="1" applyFill="1" applyBorder="1"/>
    <xf numFmtId="164" fontId="13" fillId="7" borderId="0" xfId="0" applyNumberFormat="1" applyFont="1" applyFill="1"/>
    <xf numFmtId="0" fontId="20" fillId="7" borderId="0" xfId="0" applyFont="1" applyFill="1"/>
    <xf numFmtId="165" fontId="20" fillId="7" borderId="1" xfId="0" applyNumberFormat="1" applyFont="1" applyFill="1" applyBorder="1"/>
    <xf numFmtId="0" fontId="10" fillId="7" borderId="0" xfId="0" applyFont="1" applyFill="1" applyAlignment="1">
      <alignment horizontal="left" indent="1"/>
    </xf>
    <xf numFmtId="167" fontId="17" fillId="7" borderId="1" xfId="0" applyNumberFormat="1" applyFont="1" applyFill="1" applyBorder="1"/>
    <xf numFmtId="164" fontId="5" fillId="7" borderId="0" xfId="0" applyNumberFormat="1" applyFont="1" applyFill="1"/>
    <xf numFmtId="0" fontId="10" fillId="8" borderId="0" xfId="0" applyFont="1" applyFill="1" applyAlignment="1">
      <alignment horizontal="left" indent="1"/>
    </xf>
    <xf numFmtId="167" fontId="14" fillId="8" borderId="1" xfId="0" applyNumberFormat="1" applyFont="1" applyFill="1" applyBorder="1"/>
    <xf numFmtId="164" fontId="5" fillId="8" borderId="0" xfId="0" applyNumberFormat="1" applyFont="1" applyFill="1"/>
    <xf numFmtId="0" fontId="10" fillId="4" borderId="0" xfId="0" applyFont="1" applyFill="1" applyAlignment="1">
      <alignment horizontal="left" indent="1"/>
    </xf>
    <xf numFmtId="167" fontId="17" fillId="4" borderId="1" xfId="0" applyNumberFormat="1" applyFont="1" applyFill="1" applyBorder="1"/>
    <xf numFmtId="164" fontId="5" fillId="4" borderId="0" xfId="0" applyNumberFormat="1" applyFont="1" applyFill="1"/>
    <xf numFmtId="167" fontId="13" fillId="3" borderId="1" xfId="0" applyNumberFormat="1" applyFont="1" applyFill="1" applyBorder="1"/>
    <xf numFmtId="0" fontId="21" fillId="8" borderId="1" xfId="0" applyFont="1" applyFill="1" applyBorder="1" applyAlignment="1">
      <alignment horizontal="center"/>
    </xf>
    <xf numFmtId="0" fontId="23" fillId="7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25" fillId="0" borderId="0" xfId="0" applyFont="1"/>
    <xf numFmtId="0" fontId="24" fillId="2" borderId="1" xfId="0" applyFont="1" applyFill="1" applyBorder="1" applyAlignment="1">
      <alignment horizontal="center" vertical="center"/>
    </xf>
    <xf numFmtId="0" fontId="26" fillId="0" borderId="0" xfId="0" applyFont="1"/>
    <xf numFmtId="164" fontId="0" fillId="0" borderId="0" xfId="0" applyNumberForma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5" fillId="9" borderId="0" xfId="0" applyFont="1" applyFill="1" applyAlignment="1">
      <alignment horizontal="left" indent="1"/>
    </xf>
    <xf numFmtId="0" fontId="1" fillId="0" borderId="0" xfId="0" applyFont="1" applyAlignment="1">
      <alignment horizontal="left" indent="1"/>
    </xf>
    <xf numFmtId="172" fontId="21" fillId="8" borderId="1" xfId="0" applyNumberFormat="1" applyFont="1" applyFill="1" applyBorder="1" applyAlignment="1">
      <alignment horizontal="center"/>
    </xf>
    <xf numFmtId="172" fontId="22" fillId="9" borderId="1" xfId="0" applyNumberFormat="1" applyFont="1" applyFill="1" applyBorder="1" applyAlignment="1">
      <alignment horizontal="center"/>
    </xf>
    <xf numFmtId="172" fontId="23" fillId="7" borderId="1" xfId="0" applyNumberFormat="1" applyFont="1" applyFill="1" applyBorder="1" applyAlignment="1">
      <alignment horizontal="center"/>
    </xf>
    <xf numFmtId="9" fontId="21" fillId="8" borderId="1" xfId="0" applyNumberFormat="1" applyFont="1" applyFill="1" applyBorder="1" applyAlignment="1">
      <alignment horizontal="center"/>
    </xf>
    <xf numFmtId="9" fontId="22" fillId="9" borderId="1" xfId="0" applyNumberFormat="1" applyFont="1" applyFill="1" applyBorder="1" applyAlignment="1">
      <alignment horizontal="center"/>
    </xf>
    <xf numFmtId="9" fontId="23" fillId="7" borderId="1" xfId="0" applyNumberFormat="1" applyFont="1" applyFill="1" applyBorder="1" applyAlignment="1">
      <alignment horizontal="center"/>
    </xf>
    <xf numFmtId="0" fontId="24" fillId="2" borderId="1" xfId="0" applyFont="1" applyFill="1" applyBorder="1" applyAlignment="1">
      <alignment horizontal="left" vertical="top" wrapText="1" indent="1"/>
    </xf>
    <xf numFmtId="0" fontId="24" fillId="2" borderId="1" xfId="0" applyFont="1" applyFill="1" applyBorder="1" applyAlignment="1">
      <alignment horizontal="center" vertical="top" wrapText="1"/>
    </xf>
    <xf numFmtId="0" fontId="10" fillId="5" borderId="1" xfId="0" applyFont="1" applyFill="1" applyBorder="1" applyAlignment="1">
      <alignment horizontal="left" vertical="top" wrapText="1" indent="1"/>
    </xf>
    <xf numFmtId="0" fontId="21" fillId="8" borderId="1" xfId="0" applyFont="1" applyFill="1" applyBorder="1" applyAlignment="1">
      <alignment horizontal="center" vertical="top" wrapText="1"/>
    </xf>
    <xf numFmtId="0" fontId="30" fillId="9" borderId="1" xfId="0" applyFont="1" applyFill="1" applyBorder="1" applyAlignment="1">
      <alignment horizontal="center" vertical="top" wrapText="1"/>
    </xf>
    <xf numFmtId="0" fontId="23" fillId="7" borderId="1" xfId="0" applyFont="1" applyFill="1" applyBorder="1" applyAlignment="1">
      <alignment horizontal="center" vertical="top" wrapText="1"/>
    </xf>
    <xf numFmtId="0" fontId="10" fillId="6" borderId="1" xfId="0" applyFont="1" applyFill="1" applyBorder="1" applyAlignment="1">
      <alignment horizontal="left" vertical="top" wrapText="1" indent="1"/>
    </xf>
    <xf numFmtId="0" fontId="22" fillId="9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791F1F"/>
      <rgbColor rgb="FF3B6D11"/>
      <rgbColor rgb="FF000080"/>
      <rgbColor rgb="FF854F0B"/>
      <rgbColor rgb="FF800080"/>
      <rgbColor rgb="FF0F6E56"/>
      <rgbColor rgb="FFBFBFBF"/>
      <rgbColor rgb="FF808080"/>
      <rgbColor rgb="FF9999FF"/>
      <rgbColor rgb="FF7030A0"/>
      <rgbColor rgb="FFFFF2CC"/>
      <rgbColor rgb="FFF2F2F2"/>
      <rgbColor rgb="FF660066"/>
      <rgbColor rgb="FFFF8080"/>
      <rgbColor rgb="FF185FA5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ED7D31"/>
      <rgbColor rgb="FF595959"/>
      <rgbColor rgb="FF70AD47"/>
      <rgbColor rgb="FF0C447C"/>
      <rgbColor rgb="FF339966"/>
      <rgbColor rgb="FF003300"/>
      <rgbColor rgb="FF27500A"/>
      <rgbColor rgb="FF993C1D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Revenue by Milestone  ($000s)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M1 revenue</c:v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'[1]Revenue Recognition'!$B$18:$M$18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'[1]Revenue Recognition'!$B$19:$M$19</c:f>
              <c:numCache>
                <c:formatCode>General</c:formatCode>
                <c:ptCount val="12"/>
                <c:pt idx="0">
                  <c:v>160</c:v>
                </c:pt>
                <c:pt idx="1">
                  <c:v>180</c:v>
                </c:pt>
                <c:pt idx="2">
                  <c:v>180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F4-6A40-BFE9-E05EAF372BD3}"/>
            </c:ext>
          </c:extLst>
        </c:ser>
        <c:ser>
          <c:idx val="1"/>
          <c:order val="1"/>
          <c:tx>
            <c:v>M2 revenue</c:v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'[1]Revenue Recognition'!$B$18:$M$18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'[1]Revenue Recognition'!$B$20:$M$20</c:f>
              <c:numCache>
                <c:formatCode>General</c:formatCode>
                <c:ptCount val="12"/>
                <c:pt idx="0">
                  <c:v>190</c:v>
                </c:pt>
                <c:pt idx="1">
                  <c:v>228</c:v>
                </c:pt>
                <c:pt idx="2">
                  <c:v>266</c:v>
                </c:pt>
                <c:pt idx="3">
                  <c:v>266</c:v>
                </c:pt>
                <c:pt idx="4">
                  <c:v>266</c:v>
                </c:pt>
                <c:pt idx="5">
                  <c:v>266</c:v>
                </c:pt>
                <c:pt idx="6">
                  <c:v>266</c:v>
                </c:pt>
                <c:pt idx="7">
                  <c:v>266</c:v>
                </c:pt>
                <c:pt idx="8">
                  <c:v>266</c:v>
                </c:pt>
                <c:pt idx="9">
                  <c:v>266</c:v>
                </c:pt>
                <c:pt idx="10">
                  <c:v>266</c:v>
                </c:pt>
                <c:pt idx="11">
                  <c:v>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F4-6A40-BFE9-E05EAF372BD3}"/>
            </c:ext>
          </c:extLst>
        </c:ser>
        <c:ser>
          <c:idx val="2"/>
          <c:order val="2"/>
          <c:tx>
            <c:v>M3+ancillary</c:v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'[1]Revenue Recognition'!$B$18:$M$18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'[1]Revenue Recognition'!$B$21:$M$21</c:f>
              <c:numCache>
                <c:formatCode>General</c:formatCode>
                <c:ptCount val="12"/>
                <c:pt idx="0">
                  <c:v>285</c:v>
                </c:pt>
                <c:pt idx="1">
                  <c:v>380</c:v>
                </c:pt>
                <c:pt idx="2">
                  <c:v>380</c:v>
                </c:pt>
                <c:pt idx="3">
                  <c:v>475</c:v>
                </c:pt>
                <c:pt idx="4">
                  <c:v>475</c:v>
                </c:pt>
                <c:pt idx="5">
                  <c:v>475</c:v>
                </c:pt>
                <c:pt idx="6">
                  <c:v>475</c:v>
                </c:pt>
                <c:pt idx="7">
                  <c:v>570</c:v>
                </c:pt>
                <c:pt idx="8">
                  <c:v>570</c:v>
                </c:pt>
                <c:pt idx="9">
                  <c:v>570</c:v>
                </c:pt>
                <c:pt idx="10">
                  <c:v>570</c:v>
                </c:pt>
                <c:pt idx="11">
                  <c:v>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F4-6A40-BFE9-E05EAF372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4781271"/>
        <c:axId val="94951185"/>
      </c:barChart>
      <c:catAx>
        <c:axId val="347812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951185"/>
        <c:crosses val="autoZero"/>
        <c:auto val="1"/>
        <c:lblAlgn val="ctr"/>
        <c:lblOffset val="100"/>
        <c:noMultiLvlLbl val="0"/>
      </c:catAx>
      <c:valAx>
        <c:axId val="949511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$000s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78127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P&amp;L Gross Profit vs Net Operating Cash  ($000s)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P&amp;L Gross Profit</c:v>
          </c:tx>
          <c:spPr>
            <a:ln w="2016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'[1]Cash Flow Bridge'!$B$18:$M$18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'[1]Cash Flow Bridge'!$B$19:$M$19</c:f>
              <c:numCache>
                <c:formatCode>General</c:formatCode>
                <c:ptCount val="12"/>
                <c:pt idx="0">
                  <c:v>365</c:v>
                </c:pt>
                <c:pt idx="1">
                  <c:v>428</c:v>
                </c:pt>
                <c:pt idx="2">
                  <c:v>466</c:v>
                </c:pt>
                <c:pt idx="3">
                  <c:v>491</c:v>
                </c:pt>
                <c:pt idx="4">
                  <c:v>491</c:v>
                </c:pt>
                <c:pt idx="5">
                  <c:v>491</c:v>
                </c:pt>
                <c:pt idx="6">
                  <c:v>491</c:v>
                </c:pt>
                <c:pt idx="7">
                  <c:v>496</c:v>
                </c:pt>
                <c:pt idx="8">
                  <c:v>496</c:v>
                </c:pt>
                <c:pt idx="9">
                  <c:v>496</c:v>
                </c:pt>
                <c:pt idx="10">
                  <c:v>496</c:v>
                </c:pt>
                <c:pt idx="11">
                  <c:v>496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5A-8447-A785-D61EB758649A}"/>
            </c:ext>
          </c:extLst>
        </c:ser>
        <c:ser>
          <c:idx val="1"/>
          <c:order val="1"/>
          <c:tx>
            <c:v>Net Op Cash</c:v>
          </c:tx>
          <c:spPr>
            <a:ln w="2016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'[1]Cash Flow Bridge'!$B$18:$M$18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'[1]Cash Flow Bridge'!$B$20:$M$20</c:f>
              <c:numCache>
                <c:formatCode>General</c:formatCode>
                <c:ptCount val="12"/>
                <c:pt idx="0">
                  <c:v>15</c:v>
                </c:pt>
                <c:pt idx="1">
                  <c:v>68</c:v>
                </c:pt>
                <c:pt idx="2">
                  <c:v>96</c:v>
                </c:pt>
                <c:pt idx="3">
                  <c:v>111</c:v>
                </c:pt>
                <c:pt idx="4">
                  <c:v>111</c:v>
                </c:pt>
                <c:pt idx="5">
                  <c:v>106</c:v>
                </c:pt>
                <c:pt idx="6">
                  <c:v>106</c:v>
                </c:pt>
                <c:pt idx="7">
                  <c:v>106</c:v>
                </c:pt>
                <c:pt idx="8">
                  <c:v>106</c:v>
                </c:pt>
                <c:pt idx="9">
                  <c:v>101</c:v>
                </c:pt>
                <c:pt idx="10">
                  <c:v>101</c:v>
                </c:pt>
                <c:pt idx="11">
                  <c:v>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5A-8447-A785-D61EB7586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4381009"/>
        <c:axId val="85003427"/>
      </c:lineChart>
      <c:catAx>
        <c:axId val="443810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003427"/>
        <c:crosses val="autoZero"/>
        <c:auto val="1"/>
        <c:lblAlgn val="ctr"/>
        <c:lblOffset val="100"/>
        <c:noMultiLvlLbl val="0"/>
      </c:catAx>
      <c:valAx>
        <c:axId val="850034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$000s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38100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Scenario Comparison – Key Financials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'[1]Scenario Analysis'!$A$40:$A$42</c:f>
              <c:strCache>
                <c:ptCount val="3"/>
                <c:pt idx="0">
                  <c:v>Downside</c:v>
                </c:pt>
                <c:pt idx="1">
                  <c:v>Base Case</c:v>
                </c:pt>
                <c:pt idx="2">
                  <c:v>Upside</c:v>
                </c:pt>
              </c:strCache>
            </c:strRef>
          </c:cat>
          <c:val>
            <c:numRef>
              <c:f>'[1]Scenario Analysis'!$B$39:$B$42</c:f>
              <c:numCache>
                <c:formatCode>General</c:formatCode>
                <c:ptCount val="4"/>
                <c:pt idx="0">
                  <c:v>0</c:v>
                </c:pt>
                <c:pt idx="1">
                  <c:v>6.1</c:v>
                </c:pt>
                <c:pt idx="2">
                  <c:v>10.7</c:v>
                </c:pt>
                <c:pt idx="3">
                  <c:v>14.2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7F-E648-BA24-854BDD10EB47}"/>
            </c:ext>
          </c:extLst>
        </c:ser>
        <c:ser>
          <c:idx val="1"/>
          <c:order val="1"/>
          <c:tx>
            <c:v>Gross Profit</c:v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'[1]Scenario Analysis'!$A$40:$A$42</c:f>
              <c:strCache>
                <c:ptCount val="3"/>
                <c:pt idx="0">
                  <c:v>Downside</c:v>
                </c:pt>
                <c:pt idx="1">
                  <c:v>Base Case</c:v>
                </c:pt>
                <c:pt idx="2">
                  <c:v>Upside</c:v>
                </c:pt>
              </c:strCache>
            </c:strRef>
          </c:cat>
          <c:val>
            <c:numRef>
              <c:f>'[1]Scenario Analysis'!$C$39:$C$42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5.2</c:v>
                </c:pt>
                <c:pt idx="3">
                  <c:v>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7F-E648-BA24-854BDD10EB47}"/>
            </c:ext>
          </c:extLst>
        </c:ser>
        <c:ser>
          <c:idx val="2"/>
          <c:order val="2"/>
          <c:tx>
            <c:v>EBIT</c:v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'[1]Scenario Analysis'!$A$40:$A$42</c:f>
              <c:strCache>
                <c:ptCount val="3"/>
                <c:pt idx="0">
                  <c:v>Downside</c:v>
                </c:pt>
                <c:pt idx="1">
                  <c:v>Base Case</c:v>
                </c:pt>
                <c:pt idx="2">
                  <c:v>Upside</c:v>
                </c:pt>
              </c:strCache>
            </c:strRef>
          </c:cat>
          <c:val>
            <c:numRef>
              <c:f>'[1]Scenario Analysis'!$D$39:$D$42</c:f>
              <c:numCache>
                <c:formatCode>General</c:formatCode>
                <c:ptCount val="4"/>
                <c:pt idx="0">
                  <c:v>0</c:v>
                </c:pt>
                <c:pt idx="1">
                  <c:v>-3.5</c:v>
                </c:pt>
                <c:pt idx="2">
                  <c:v>0.7</c:v>
                </c:pt>
                <c:pt idx="3">
                  <c:v>2.2999999999999998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7F-E648-BA24-854BDD10E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943499"/>
        <c:axId val="76118989"/>
      </c:barChart>
      <c:catAx>
        <c:axId val="769434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Scenario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118989"/>
        <c:crosses val="autoZero"/>
        <c:auto val="1"/>
        <c:lblAlgn val="ctr"/>
        <c:lblOffset val="100"/>
        <c:noMultiLvlLbl val="0"/>
      </c:catAx>
      <c:valAx>
        <c:axId val="761189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$M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94349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0</xdr:rowOff>
    </xdr:from>
    <xdr:to>
      <xdr:col>8</xdr:col>
      <xdr:colOff>611160</xdr:colOff>
      <xdr:row>49</xdr:row>
      <xdr:rowOff>85680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2AB2B0-E134-7041-8125-EA1CF96F0B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7</xdr:col>
      <xdr:colOff>611160</xdr:colOff>
      <xdr:row>46</xdr:row>
      <xdr:rowOff>86040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D844C7-BE00-B24E-A5F6-DB379B4016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43</xdr:row>
      <xdr:rowOff>0</xdr:rowOff>
    </xdr:from>
    <xdr:to>
      <xdr:col>4</xdr:col>
      <xdr:colOff>828600</xdr:colOff>
      <xdr:row>65</xdr:row>
      <xdr:rowOff>128160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9A0112-2FC0-E64C-88DB-DAB3D2BFF8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vanessalei/Downloads/FPA_Visuals_Modules2_3_4.xlsx" TargetMode="External"/><Relationship Id="rId1" Type="http://schemas.openxmlformats.org/officeDocument/2006/relationships/externalLinkPath" Target="FPA_Visuals_Modules2_3_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venue Recognition"/>
      <sheetName val="Cash Flow Bridge"/>
      <sheetName val="Scenario Analysis"/>
    </sheetNames>
    <sheetDataSet>
      <sheetData sheetId="0">
        <row r="18">
          <cell r="B18" t="str">
            <v>M1</v>
          </cell>
          <cell r="C18" t="str">
            <v>M2</v>
          </cell>
          <cell r="D18" t="str">
            <v>M3</v>
          </cell>
          <cell r="E18" t="str">
            <v>M4</v>
          </cell>
          <cell r="F18" t="str">
            <v>M5</v>
          </cell>
          <cell r="G18" t="str">
            <v>M6</v>
          </cell>
          <cell r="H18" t="str">
            <v>M7</v>
          </cell>
          <cell r="I18" t="str">
            <v>M8</v>
          </cell>
          <cell r="J18" t="str">
            <v>M9</v>
          </cell>
          <cell r="K18" t="str">
            <v>M10</v>
          </cell>
          <cell r="L18" t="str">
            <v>M11</v>
          </cell>
          <cell r="M18" t="str">
            <v>M12</v>
          </cell>
        </row>
        <row r="19">
          <cell r="B19">
            <v>160</v>
          </cell>
          <cell r="C19">
            <v>180</v>
          </cell>
          <cell r="D19">
            <v>180</v>
          </cell>
          <cell r="E19">
            <v>200</v>
          </cell>
          <cell r="F19">
            <v>200</v>
          </cell>
          <cell r="G19">
            <v>200</v>
          </cell>
          <cell r="H19">
            <v>200</v>
          </cell>
          <cell r="I19">
            <v>200</v>
          </cell>
          <cell r="J19">
            <v>200</v>
          </cell>
          <cell r="K19">
            <v>200</v>
          </cell>
          <cell r="L19">
            <v>200</v>
          </cell>
          <cell r="M19">
            <v>200</v>
          </cell>
        </row>
        <row r="20">
          <cell r="B20">
            <v>190</v>
          </cell>
          <cell r="C20">
            <v>228</v>
          </cell>
          <cell r="D20">
            <v>266</v>
          </cell>
          <cell r="E20">
            <v>266</v>
          </cell>
          <cell r="F20">
            <v>266</v>
          </cell>
          <cell r="G20">
            <v>266</v>
          </cell>
          <cell r="H20">
            <v>266</v>
          </cell>
          <cell r="I20">
            <v>266</v>
          </cell>
          <cell r="J20">
            <v>266</v>
          </cell>
          <cell r="K20">
            <v>266</v>
          </cell>
          <cell r="L20">
            <v>266</v>
          </cell>
          <cell r="M20">
            <v>266</v>
          </cell>
        </row>
        <row r="21">
          <cell r="B21">
            <v>285</v>
          </cell>
          <cell r="C21">
            <v>380</v>
          </cell>
          <cell r="D21">
            <v>380</v>
          </cell>
          <cell r="E21">
            <v>475</v>
          </cell>
          <cell r="F21">
            <v>475</v>
          </cell>
          <cell r="G21">
            <v>475</v>
          </cell>
          <cell r="H21">
            <v>475</v>
          </cell>
          <cell r="I21">
            <v>570</v>
          </cell>
          <cell r="J21">
            <v>570</v>
          </cell>
          <cell r="K21">
            <v>570</v>
          </cell>
          <cell r="L21">
            <v>570</v>
          </cell>
          <cell r="M21">
            <v>570</v>
          </cell>
        </row>
      </sheetData>
      <sheetData sheetId="1">
        <row r="18">
          <cell r="B18" t="str">
            <v>M1</v>
          </cell>
          <cell r="C18" t="str">
            <v>M2</v>
          </cell>
          <cell r="D18" t="str">
            <v>M3</v>
          </cell>
          <cell r="E18" t="str">
            <v>M4</v>
          </cell>
          <cell r="F18" t="str">
            <v>M5</v>
          </cell>
          <cell r="G18" t="str">
            <v>M6</v>
          </cell>
          <cell r="H18" t="str">
            <v>M7</v>
          </cell>
          <cell r="I18" t="str">
            <v>M8</v>
          </cell>
          <cell r="J18" t="str">
            <v>M9</v>
          </cell>
          <cell r="K18" t="str">
            <v>M10</v>
          </cell>
          <cell r="L18" t="str">
            <v>M11</v>
          </cell>
          <cell r="M18" t="str">
            <v>M12</v>
          </cell>
        </row>
        <row r="19">
          <cell r="B19">
            <v>365</v>
          </cell>
          <cell r="C19">
            <v>428</v>
          </cell>
          <cell r="D19">
            <v>466</v>
          </cell>
          <cell r="E19">
            <v>491</v>
          </cell>
          <cell r="F19">
            <v>491</v>
          </cell>
          <cell r="G19">
            <v>491</v>
          </cell>
          <cell r="H19">
            <v>491</v>
          </cell>
          <cell r="I19">
            <v>496</v>
          </cell>
          <cell r="J19">
            <v>496</v>
          </cell>
          <cell r="K19">
            <v>496</v>
          </cell>
          <cell r="L19">
            <v>496</v>
          </cell>
          <cell r="M19">
            <v>496</v>
          </cell>
        </row>
        <row r="20">
          <cell r="B20">
            <v>15</v>
          </cell>
          <cell r="C20">
            <v>68</v>
          </cell>
          <cell r="D20">
            <v>96</v>
          </cell>
          <cell r="E20">
            <v>111</v>
          </cell>
          <cell r="F20">
            <v>111</v>
          </cell>
          <cell r="G20">
            <v>106</v>
          </cell>
          <cell r="H20">
            <v>106</v>
          </cell>
          <cell r="I20">
            <v>106</v>
          </cell>
          <cell r="J20">
            <v>106</v>
          </cell>
          <cell r="K20">
            <v>101</v>
          </cell>
          <cell r="L20">
            <v>101</v>
          </cell>
          <cell r="M20">
            <v>96</v>
          </cell>
        </row>
      </sheetData>
      <sheetData sheetId="2">
        <row r="39">
          <cell r="B39" t="str">
            <v>Revenue($M)</v>
          </cell>
          <cell r="C39" t="str">
            <v>Gross Profit($M)</v>
          </cell>
          <cell r="D39" t="str">
            <v>EBIT($M)</v>
          </cell>
        </row>
        <row r="40">
          <cell r="A40" t="str">
            <v>Downside</v>
          </cell>
          <cell r="B40">
            <v>6.1</v>
          </cell>
          <cell r="C40">
            <v>1</v>
          </cell>
          <cell r="D40">
            <v>-3.5</v>
          </cell>
        </row>
        <row r="41">
          <cell r="A41" t="str">
            <v>Base Case</v>
          </cell>
          <cell r="B41">
            <v>10.7</v>
          </cell>
          <cell r="C41">
            <v>5.2</v>
          </cell>
          <cell r="D41">
            <v>0.7</v>
          </cell>
        </row>
        <row r="42">
          <cell r="A42" t="str">
            <v>Upside</v>
          </cell>
          <cell r="B42">
            <v>14.2</v>
          </cell>
          <cell r="C42">
            <v>6.8</v>
          </cell>
          <cell r="D42">
            <v>2.2999999999999998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D32"/>
  <sheetViews>
    <sheetView showGridLines="0" tabSelected="1" zoomScaleNormal="100" workbookViewId="0">
      <selection sqref="A1:D1"/>
    </sheetView>
  </sheetViews>
  <sheetFormatPr baseColWidth="10" defaultColWidth="8.6640625" defaultRowHeight="15" x14ac:dyDescent="0.2"/>
  <cols>
    <col min="1" max="1" width="36" customWidth="1"/>
    <col min="2" max="2" width="14" customWidth="1"/>
    <col min="3" max="3" width="22" customWidth="1"/>
    <col min="4" max="4" width="28" customWidth="1"/>
  </cols>
  <sheetData>
    <row r="1" spans="1:4" ht="27.75" customHeight="1" x14ac:dyDescent="0.2">
      <c r="A1" s="5" t="s">
        <v>0</v>
      </c>
      <c r="B1" s="5"/>
      <c r="C1" s="5"/>
      <c r="D1" s="5"/>
    </row>
    <row r="2" spans="1:4" ht="15.75" customHeight="1" x14ac:dyDescent="0.2">
      <c r="A2" s="4" t="s">
        <v>1</v>
      </c>
      <c r="B2" s="4"/>
      <c r="C2" s="4"/>
      <c r="D2" s="4"/>
    </row>
    <row r="4" spans="1:4" ht="19.5" customHeight="1" x14ac:dyDescent="0.2">
      <c r="A4" s="7" t="s">
        <v>2</v>
      </c>
      <c r="B4" s="7" t="s">
        <v>3</v>
      </c>
      <c r="C4" s="7" t="s">
        <v>4</v>
      </c>
      <c r="D4" s="7" t="s">
        <v>5</v>
      </c>
    </row>
    <row r="5" spans="1:4" ht="18" customHeight="1" x14ac:dyDescent="0.2">
      <c r="A5" s="3" t="s">
        <v>6</v>
      </c>
      <c r="B5" s="3"/>
      <c r="C5" s="3"/>
      <c r="D5" s="3"/>
    </row>
    <row r="6" spans="1:4" ht="18" customHeight="1" x14ac:dyDescent="0.2">
      <c r="A6" t="s">
        <v>7</v>
      </c>
      <c r="B6" s="8">
        <v>10</v>
      </c>
      <c r="C6" s="9" t="s">
        <v>8</v>
      </c>
      <c r="D6" s="10" t="s">
        <v>9</v>
      </c>
    </row>
    <row r="7" spans="1:4" ht="18" customHeight="1" x14ac:dyDescent="0.2">
      <c r="A7" t="s">
        <v>10</v>
      </c>
      <c r="B7" s="11">
        <v>153000</v>
      </c>
      <c r="C7" s="9" t="s">
        <v>11</v>
      </c>
      <c r="D7" s="10" t="s">
        <v>12</v>
      </c>
    </row>
    <row r="8" spans="1:4" ht="18" customHeight="1" x14ac:dyDescent="0.2">
      <c r="A8" t="s">
        <v>13</v>
      </c>
      <c r="B8" s="11">
        <v>20000</v>
      </c>
      <c r="C8" s="9" t="s">
        <v>14</v>
      </c>
      <c r="D8" s="10" t="s">
        <v>15</v>
      </c>
    </row>
    <row r="9" spans="1:4" ht="18" customHeight="1" x14ac:dyDescent="0.2">
      <c r="A9" t="s">
        <v>16</v>
      </c>
      <c r="B9" s="11">
        <v>38000</v>
      </c>
      <c r="C9" s="9" t="s">
        <v>17</v>
      </c>
      <c r="D9" s="10" t="s">
        <v>18</v>
      </c>
    </row>
    <row r="10" spans="1:4" ht="18" customHeight="1" x14ac:dyDescent="0.2">
      <c r="A10" t="s">
        <v>19</v>
      </c>
      <c r="B10" s="11">
        <v>80000</v>
      </c>
      <c r="C10" s="9" t="s">
        <v>20</v>
      </c>
      <c r="D10" s="10" t="s">
        <v>21</v>
      </c>
    </row>
    <row r="11" spans="1:4" ht="18" customHeight="1" x14ac:dyDescent="0.2">
      <c r="A11" t="s">
        <v>22</v>
      </c>
      <c r="B11" s="11">
        <v>15000</v>
      </c>
      <c r="C11" s="9" t="s">
        <v>11</v>
      </c>
      <c r="D11" s="10" t="s">
        <v>23</v>
      </c>
    </row>
    <row r="12" spans="1:4" ht="18" customHeight="1" x14ac:dyDescent="0.2">
      <c r="A12" t="s">
        <v>24</v>
      </c>
      <c r="B12" s="12">
        <v>0.7</v>
      </c>
      <c r="C12" s="9" t="s">
        <v>25</v>
      </c>
      <c r="D12" s="10" t="s">
        <v>26</v>
      </c>
    </row>
    <row r="13" spans="1:4" ht="18" customHeight="1" x14ac:dyDescent="0.2">
      <c r="A13" t="s">
        <v>27</v>
      </c>
      <c r="B13" s="12">
        <v>0.65</v>
      </c>
      <c r="C13" s="9" t="s">
        <v>25</v>
      </c>
      <c r="D13" s="10" t="s">
        <v>26</v>
      </c>
    </row>
    <row r="14" spans="1:4" ht="18" customHeight="1" x14ac:dyDescent="0.2">
      <c r="A14" t="s">
        <v>28</v>
      </c>
      <c r="B14" s="12">
        <v>0.08</v>
      </c>
      <c r="C14" s="9" t="s">
        <v>25</v>
      </c>
      <c r="D14" s="10" t="s">
        <v>29</v>
      </c>
    </row>
    <row r="15" spans="1:4" ht="18" customHeight="1" x14ac:dyDescent="0.2">
      <c r="A15" t="s">
        <v>30</v>
      </c>
      <c r="B15" s="8">
        <v>1.5</v>
      </c>
      <c r="C15" s="9" t="s">
        <v>31</v>
      </c>
      <c r="D15" s="10" t="s">
        <v>32</v>
      </c>
    </row>
    <row r="16" spans="1:4" ht="18" customHeight="1" x14ac:dyDescent="0.2">
      <c r="A16" t="s">
        <v>33</v>
      </c>
      <c r="B16" s="8">
        <v>2.5</v>
      </c>
      <c r="C16" s="9" t="s">
        <v>31</v>
      </c>
      <c r="D16" s="10" t="s">
        <v>34</v>
      </c>
    </row>
    <row r="17" spans="1:4" ht="18" customHeight="1" x14ac:dyDescent="0.2">
      <c r="A17" t="s">
        <v>35</v>
      </c>
      <c r="B17" s="8">
        <v>9.5</v>
      </c>
      <c r="C17" s="9" t="s">
        <v>31</v>
      </c>
      <c r="D17" s="10" t="s">
        <v>36</v>
      </c>
    </row>
    <row r="18" spans="1:4" ht="18" customHeight="1" x14ac:dyDescent="0.2">
      <c r="A18" s="3" t="s">
        <v>37</v>
      </c>
      <c r="B18" s="3"/>
      <c r="C18" s="3"/>
      <c r="D18" s="3"/>
    </row>
    <row r="19" spans="1:4" ht="18" customHeight="1" x14ac:dyDescent="0.2">
      <c r="A19" t="s">
        <v>38</v>
      </c>
      <c r="B19" s="8">
        <v>22</v>
      </c>
      <c r="C19" s="9" t="s">
        <v>39</v>
      </c>
      <c r="D19" s="10" t="s">
        <v>40</v>
      </c>
    </row>
    <row r="20" spans="1:4" ht="18" customHeight="1" x14ac:dyDescent="0.2">
      <c r="A20" t="s">
        <v>41</v>
      </c>
      <c r="B20" s="8">
        <v>38</v>
      </c>
      <c r="C20" s="9" t="s">
        <v>39</v>
      </c>
      <c r="D20" s="10" t="s">
        <v>40</v>
      </c>
    </row>
    <row r="21" spans="1:4" ht="18" customHeight="1" x14ac:dyDescent="0.2">
      <c r="A21" t="s">
        <v>42</v>
      </c>
      <c r="B21" s="8">
        <v>41</v>
      </c>
      <c r="C21" s="9" t="s">
        <v>39</v>
      </c>
      <c r="D21" s="10" t="s">
        <v>40</v>
      </c>
    </row>
    <row r="22" spans="1:4" ht="18" customHeight="1" x14ac:dyDescent="0.2">
      <c r="A22" s="3" t="s">
        <v>43</v>
      </c>
      <c r="B22" s="3"/>
      <c r="C22" s="3"/>
      <c r="D22" s="3"/>
    </row>
    <row r="23" spans="1:4" ht="18" customHeight="1" x14ac:dyDescent="0.2">
      <c r="A23" t="s">
        <v>44</v>
      </c>
      <c r="B23" s="11">
        <v>45000</v>
      </c>
      <c r="C23" s="9" t="s">
        <v>45</v>
      </c>
      <c r="D23" s="10" t="s">
        <v>46</v>
      </c>
    </row>
    <row r="24" spans="1:4" ht="18" customHeight="1" x14ac:dyDescent="0.2">
      <c r="A24" t="s">
        <v>47</v>
      </c>
      <c r="B24" s="11">
        <v>25000</v>
      </c>
      <c r="C24" s="9" t="s">
        <v>45</v>
      </c>
      <c r="D24" s="10" t="s">
        <v>48</v>
      </c>
    </row>
    <row r="25" spans="1:4" ht="18" customHeight="1" x14ac:dyDescent="0.2">
      <c r="A25" t="s">
        <v>49</v>
      </c>
      <c r="B25" s="11">
        <v>12000</v>
      </c>
      <c r="C25" s="9" t="s">
        <v>45</v>
      </c>
      <c r="D25" s="10" t="s">
        <v>50</v>
      </c>
    </row>
    <row r="26" spans="1:4" ht="18" customHeight="1" x14ac:dyDescent="0.2">
      <c r="A26" t="s">
        <v>51</v>
      </c>
      <c r="B26" s="11">
        <v>8000</v>
      </c>
      <c r="C26" s="9" t="s">
        <v>45</v>
      </c>
      <c r="D26" s="10" t="s">
        <v>52</v>
      </c>
    </row>
    <row r="27" spans="1:4" ht="18" customHeight="1" x14ac:dyDescent="0.2">
      <c r="A27" s="3" t="s">
        <v>53</v>
      </c>
      <c r="B27" s="3"/>
      <c r="C27" s="3"/>
      <c r="D27" s="3"/>
    </row>
    <row r="28" spans="1:4" ht="18" customHeight="1" x14ac:dyDescent="0.2">
      <c r="A28" t="s">
        <v>54</v>
      </c>
      <c r="B28" s="13">
        <v>220</v>
      </c>
      <c r="C28" s="9" t="s">
        <v>55</v>
      </c>
      <c r="D28" s="10" t="s">
        <v>56</v>
      </c>
    </row>
    <row r="29" spans="1:4" ht="18" customHeight="1" x14ac:dyDescent="0.2">
      <c r="A29" t="s">
        <v>57</v>
      </c>
      <c r="B29" s="8">
        <v>65</v>
      </c>
      <c r="C29" s="9" t="s">
        <v>55</v>
      </c>
      <c r="D29" s="10" t="s">
        <v>58</v>
      </c>
    </row>
    <row r="30" spans="1:4" ht="18" customHeight="1" x14ac:dyDescent="0.2">
      <c r="A30" t="s">
        <v>59</v>
      </c>
      <c r="B30" s="8">
        <v>40</v>
      </c>
      <c r="C30" s="9" t="s">
        <v>55</v>
      </c>
      <c r="D30" s="10" t="s">
        <v>60</v>
      </c>
    </row>
    <row r="31" spans="1:4" ht="18" customHeight="1" x14ac:dyDescent="0.2">
      <c r="A31" t="s">
        <v>61</v>
      </c>
      <c r="B31" s="8">
        <v>25</v>
      </c>
      <c r="C31" s="9" t="s">
        <v>55</v>
      </c>
      <c r="D31" s="10" t="s">
        <v>62</v>
      </c>
    </row>
    <row r="32" spans="1:4" ht="18" customHeight="1" x14ac:dyDescent="0.2">
      <c r="A32" t="s">
        <v>63</v>
      </c>
      <c r="B32" s="8">
        <v>30</v>
      </c>
      <c r="C32" s="9" t="s">
        <v>55</v>
      </c>
      <c r="D32" s="10" t="s">
        <v>64</v>
      </c>
    </row>
  </sheetData>
  <mergeCells count="6">
    <mergeCell ref="A27:D27"/>
    <mergeCell ref="A1:D1"/>
    <mergeCell ref="A2:D2"/>
    <mergeCell ref="A5:D5"/>
    <mergeCell ref="A18:D18"/>
    <mergeCell ref="A22:D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N10"/>
  <sheetViews>
    <sheetView showGridLines="0" zoomScaleNormal="100" workbookViewId="0">
      <selection sqref="A1:N1"/>
    </sheetView>
  </sheetViews>
  <sheetFormatPr baseColWidth="10" defaultColWidth="8.6640625" defaultRowHeight="15" x14ac:dyDescent="0.2"/>
  <cols>
    <col min="1" max="1" width="30" customWidth="1"/>
    <col min="2" max="14" width="9" customWidth="1"/>
  </cols>
  <sheetData>
    <row r="1" spans="1:14" ht="25.5" customHeight="1" x14ac:dyDescent="0.2">
      <c r="A1" s="2" t="s">
        <v>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ht="19.5" customHeight="1" x14ac:dyDescent="0.2">
      <c r="A3" s="7" t="s">
        <v>66</v>
      </c>
      <c r="B3" s="7" t="s">
        <v>67</v>
      </c>
      <c r="C3" s="7" t="s">
        <v>68</v>
      </c>
      <c r="D3" s="7" t="s">
        <v>69</v>
      </c>
      <c r="E3" s="7" t="s">
        <v>70</v>
      </c>
      <c r="F3" s="7" t="s">
        <v>71</v>
      </c>
      <c r="G3" s="7" t="s">
        <v>72</v>
      </c>
      <c r="H3" s="7" t="s">
        <v>73</v>
      </c>
      <c r="I3" s="7" t="s">
        <v>74</v>
      </c>
      <c r="J3" s="7" t="s">
        <v>75</v>
      </c>
      <c r="K3" s="7" t="s">
        <v>76</v>
      </c>
      <c r="L3" s="7" t="s">
        <v>77</v>
      </c>
      <c r="M3" s="7" t="s">
        <v>78</v>
      </c>
      <c r="N3" s="7" t="s">
        <v>79</v>
      </c>
    </row>
    <row r="4" spans="1:14" ht="18" customHeight="1" x14ac:dyDescent="0.2">
      <c r="A4" s="14" t="s">
        <v>80</v>
      </c>
      <c r="B4" s="15">
        <v>101</v>
      </c>
      <c r="C4" s="15">
        <v>103</v>
      </c>
      <c r="D4" s="15">
        <v>105</v>
      </c>
      <c r="E4" s="15">
        <v>107</v>
      </c>
      <c r="F4" s="15">
        <v>108</v>
      </c>
      <c r="G4" s="15">
        <v>110</v>
      </c>
      <c r="H4" s="15">
        <v>111</v>
      </c>
      <c r="I4" s="15">
        <v>112</v>
      </c>
      <c r="J4" s="15">
        <v>113</v>
      </c>
      <c r="K4" s="15">
        <v>114</v>
      </c>
      <c r="L4" s="15">
        <v>115</v>
      </c>
      <c r="M4" s="15">
        <v>116</v>
      </c>
    </row>
    <row r="5" spans="1:14" ht="18" customHeight="1" x14ac:dyDescent="0.2">
      <c r="A5" s="16" t="s">
        <v>81</v>
      </c>
      <c r="B5" s="17">
        <v>10</v>
      </c>
      <c r="C5" s="17">
        <v>10</v>
      </c>
      <c r="D5" s="17">
        <v>10</v>
      </c>
      <c r="E5" s="17">
        <v>10</v>
      </c>
      <c r="F5" s="17">
        <v>10</v>
      </c>
      <c r="G5" s="17">
        <v>10</v>
      </c>
      <c r="H5" s="17">
        <v>10</v>
      </c>
      <c r="I5" s="17">
        <v>10</v>
      </c>
      <c r="J5" s="17">
        <v>10</v>
      </c>
      <c r="K5" s="17">
        <v>10</v>
      </c>
      <c r="L5" s="17">
        <v>10</v>
      </c>
      <c r="M5" s="17">
        <v>10</v>
      </c>
      <c r="N5" s="18">
        <f>SUM(B5:M5)</f>
        <v>120</v>
      </c>
    </row>
    <row r="6" spans="1:14" ht="18" customHeight="1" x14ac:dyDescent="0.2">
      <c r="A6" s="19" t="s">
        <v>82</v>
      </c>
      <c r="B6" s="20">
        <v>8</v>
      </c>
      <c r="C6" s="20">
        <v>9</v>
      </c>
      <c r="D6" s="20">
        <v>9</v>
      </c>
      <c r="E6" s="20">
        <v>10</v>
      </c>
      <c r="F6" s="20">
        <v>10</v>
      </c>
      <c r="G6" s="20">
        <v>10</v>
      </c>
      <c r="H6" s="20">
        <v>10</v>
      </c>
      <c r="I6" s="20">
        <v>10</v>
      </c>
      <c r="J6" s="20">
        <v>10</v>
      </c>
      <c r="K6" s="20">
        <v>10</v>
      </c>
      <c r="L6" s="20">
        <v>10</v>
      </c>
      <c r="M6" s="20">
        <v>10</v>
      </c>
      <c r="N6" s="21">
        <f>SUM(B6:M6)</f>
        <v>116</v>
      </c>
    </row>
    <row r="7" spans="1:14" ht="18" customHeight="1" x14ac:dyDescent="0.2">
      <c r="A7" s="22" t="s">
        <v>83</v>
      </c>
      <c r="B7" s="23">
        <v>5</v>
      </c>
      <c r="C7" s="23">
        <v>6</v>
      </c>
      <c r="D7" s="23">
        <v>7</v>
      </c>
      <c r="E7" s="23">
        <v>7</v>
      </c>
      <c r="F7" s="23">
        <v>7</v>
      </c>
      <c r="G7" s="23">
        <v>7</v>
      </c>
      <c r="H7" s="23">
        <v>7</v>
      </c>
      <c r="I7" s="23">
        <v>7</v>
      </c>
      <c r="J7" s="23">
        <v>7</v>
      </c>
      <c r="K7" s="23">
        <v>7</v>
      </c>
      <c r="L7" s="23">
        <v>7</v>
      </c>
      <c r="M7" s="23">
        <v>7</v>
      </c>
      <c r="N7" s="24">
        <f>SUM(B7:M7)</f>
        <v>81</v>
      </c>
    </row>
    <row r="8" spans="1:14" ht="18" customHeight="1" x14ac:dyDescent="0.2">
      <c r="A8" s="22" t="s">
        <v>84</v>
      </c>
      <c r="B8" s="23">
        <v>3</v>
      </c>
      <c r="C8" s="23">
        <v>4</v>
      </c>
      <c r="D8" s="23">
        <v>4</v>
      </c>
      <c r="E8" s="23">
        <v>5</v>
      </c>
      <c r="F8" s="23">
        <v>5</v>
      </c>
      <c r="G8" s="23">
        <v>5</v>
      </c>
      <c r="H8" s="23">
        <v>5</v>
      </c>
      <c r="I8" s="23">
        <v>6</v>
      </c>
      <c r="J8" s="23">
        <v>6</v>
      </c>
      <c r="K8" s="23">
        <v>6</v>
      </c>
      <c r="L8" s="23">
        <v>6</v>
      </c>
      <c r="M8" s="23">
        <v>6</v>
      </c>
      <c r="N8" s="24">
        <f>SUM(B8:M8)</f>
        <v>61</v>
      </c>
    </row>
    <row r="9" spans="1:14" ht="18" customHeight="1" x14ac:dyDescent="0.2">
      <c r="A9" s="25" t="s">
        <v>85</v>
      </c>
      <c r="B9" s="26">
        <v>1</v>
      </c>
      <c r="C9" s="26">
        <v>1</v>
      </c>
      <c r="D9" s="26">
        <v>1</v>
      </c>
      <c r="E9" s="26">
        <v>1</v>
      </c>
      <c r="F9" s="26">
        <v>1</v>
      </c>
      <c r="G9" s="26">
        <v>1</v>
      </c>
      <c r="H9" s="26">
        <v>1</v>
      </c>
      <c r="I9" s="26">
        <v>1</v>
      </c>
      <c r="J9" s="26">
        <v>1</v>
      </c>
      <c r="K9" s="26">
        <v>1</v>
      </c>
      <c r="L9" s="26">
        <v>1</v>
      </c>
      <c r="M9" s="26">
        <v>1</v>
      </c>
      <c r="N9" s="27">
        <f>SUM(B9:M9)</f>
        <v>12</v>
      </c>
    </row>
    <row r="10" spans="1:14" ht="18" customHeight="1" x14ac:dyDescent="0.2">
      <c r="A10" s="28" t="s">
        <v>86</v>
      </c>
      <c r="B10" s="29">
        <v>103</v>
      </c>
      <c r="C10" s="29">
        <v>105</v>
      </c>
      <c r="D10" s="29">
        <v>107</v>
      </c>
      <c r="E10" s="29">
        <v>108</v>
      </c>
      <c r="F10" s="29">
        <v>110</v>
      </c>
      <c r="G10" s="29">
        <v>111</v>
      </c>
      <c r="H10" s="29">
        <v>112</v>
      </c>
      <c r="I10" s="29">
        <v>113</v>
      </c>
      <c r="J10" s="29">
        <v>114</v>
      </c>
      <c r="K10" s="29">
        <v>115</v>
      </c>
      <c r="L10" s="29">
        <v>116</v>
      </c>
      <c r="M10" s="29">
        <v>117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N22"/>
  <sheetViews>
    <sheetView showGridLines="0" zoomScaleNormal="100" workbookViewId="0">
      <selection activeCell="A15" sqref="A15"/>
    </sheetView>
  </sheetViews>
  <sheetFormatPr baseColWidth="10" defaultColWidth="8.6640625" defaultRowHeight="15" x14ac:dyDescent="0.2"/>
  <cols>
    <col min="1" max="1" width="34" customWidth="1"/>
    <col min="2" max="14" width="10" customWidth="1"/>
  </cols>
  <sheetData>
    <row r="1" spans="1:14" ht="25.5" customHeight="1" x14ac:dyDescent="0.2">
      <c r="A1" s="2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x14ac:dyDescent="0.2">
      <c r="A3" s="7" t="s">
        <v>88</v>
      </c>
      <c r="B3" s="7" t="s">
        <v>67</v>
      </c>
      <c r="C3" s="7" t="s">
        <v>68</v>
      </c>
      <c r="D3" s="7" t="s">
        <v>69</v>
      </c>
      <c r="E3" s="7" t="s">
        <v>70</v>
      </c>
      <c r="F3" s="7" t="s">
        <v>71</v>
      </c>
      <c r="G3" s="7" t="s">
        <v>72</v>
      </c>
      <c r="H3" s="7" t="s">
        <v>73</v>
      </c>
      <c r="I3" s="7" t="s">
        <v>74</v>
      </c>
      <c r="J3" s="7" t="s">
        <v>75</v>
      </c>
      <c r="K3" s="7" t="s">
        <v>76</v>
      </c>
      <c r="L3" s="7" t="s">
        <v>77</v>
      </c>
      <c r="M3" s="7" t="s">
        <v>78</v>
      </c>
      <c r="N3" s="7" t="s">
        <v>79</v>
      </c>
    </row>
    <row r="4" spans="1:14" x14ac:dyDescent="0.2">
      <c r="A4" s="1" t="s">
        <v>89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4" ht="18" customHeight="1" x14ac:dyDescent="0.2">
      <c r="A5" s="31" t="s">
        <v>90</v>
      </c>
      <c r="B5" s="32">
        <v>160</v>
      </c>
      <c r="C5" s="32">
        <v>180</v>
      </c>
      <c r="D5" s="32">
        <v>180</v>
      </c>
      <c r="E5" s="32">
        <v>200</v>
      </c>
      <c r="F5" s="32">
        <v>200</v>
      </c>
      <c r="G5" s="32">
        <v>200</v>
      </c>
      <c r="H5" s="32">
        <v>200</v>
      </c>
      <c r="I5" s="32">
        <v>200</v>
      </c>
      <c r="J5" s="32">
        <v>200</v>
      </c>
      <c r="K5" s="32">
        <v>200</v>
      </c>
      <c r="L5" s="32">
        <v>200</v>
      </c>
      <c r="M5" s="32">
        <v>200</v>
      </c>
      <c r="N5" s="33">
        <f>SUM(B5:M5)</f>
        <v>2320</v>
      </c>
    </row>
    <row r="6" spans="1:14" ht="18" customHeight="1" x14ac:dyDescent="0.2">
      <c r="A6" s="34" t="s">
        <v>91</v>
      </c>
      <c r="B6" s="35">
        <v>190</v>
      </c>
      <c r="C6" s="35">
        <v>228</v>
      </c>
      <c r="D6" s="35">
        <v>266</v>
      </c>
      <c r="E6" s="35">
        <v>266</v>
      </c>
      <c r="F6" s="35">
        <v>266</v>
      </c>
      <c r="G6" s="35">
        <v>266</v>
      </c>
      <c r="H6" s="35">
        <v>266</v>
      </c>
      <c r="I6" s="35">
        <v>266</v>
      </c>
      <c r="J6" s="35">
        <v>266</v>
      </c>
      <c r="K6" s="35">
        <v>266</v>
      </c>
      <c r="L6" s="35">
        <v>266</v>
      </c>
      <c r="M6" s="35">
        <v>266</v>
      </c>
      <c r="N6" s="36">
        <f>SUM(B6:M6)</f>
        <v>3078</v>
      </c>
    </row>
    <row r="7" spans="1:14" ht="18" customHeight="1" x14ac:dyDescent="0.2">
      <c r="A7" s="37" t="s">
        <v>92</v>
      </c>
      <c r="B7" s="38">
        <v>240</v>
      </c>
      <c r="C7" s="38">
        <v>320</v>
      </c>
      <c r="D7" s="38">
        <v>320</v>
      </c>
      <c r="E7" s="38">
        <v>400</v>
      </c>
      <c r="F7" s="38">
        <v>400</v>
      </c>
      <c r="G7" s="38">
        <v>400</v>
      </c>
      <c r="H7" s="38">
        <v>400</v>
      </c>
      <c r="I7" s="38">
        <v>480</v>
      </c>
      <c r="J7" s="38">
        <v>480</v>
      </c>
      <c r="K7" s="38">
        <v>480</v>
      </c>
      <c r="L7" s="38">
        <v>480</v>
      </c>
      <c r="M7" s="38">
        <v>480</v>
      </c>
      <c r="N7" s="39">
        <f>SUM(B7:M7)</f>
        <v>4880</v>
      </c>
    </row>
    <row r="8" spans="1:14" ht="18" customHeight="1" x14ac:dyDescent="0.2">
      <c r="A8" s="40" t="s">
        <v>93</v>
      </c>
      <c r="B8" s="41">
        <v>45</v>
      </c>
      <c r="C8" s="41">
        <v>60</v>
      </c>
      <c r="D8" s="41">
        <v>60</v>
      </c>
      <c r="E8" s="41">
        <v>75</v>
      </c>
      <c r="F8" s="41">
        <v>75</v>
      </c>
      <c r="G8" s="41">
        <v>75</v>
      </c>
      <c r="H8" s="41">
        <v>75</v>
      </c>
      <c r="I8" s="41">
        <v>90</v>
      </c>
      <c r="J8" s="41">
        <v>90</v>
      </c>
      <c r="K8" s="41">
        <v>90</v>
      </c>
      <c r="L8" s="41">
        <v>90</v>
      </c>
      <c r="M8" s="41">
        <v>90</v>
      </c>
      <c r="N8" s="42">
        <f>SUM(B8:M8)</f>
        <v>915</v>
      </c>
    </row>
    <row r="9" spans="1:14" ht="19.5" customHeight="1" x14ac:dyDescent="0.2">
      <c r="A9" s="30" t="s">
        <v>94</v>
      </c>
      <c r="B9" s="43">
        <v>635</v>
      </c>
      <c r="C9" s="43">
        <v>788</v>
      </c>
      <c r="D9" s="43">
        <v>826</v>
      </c>
      <c r="E9" s="43">
        <v>941</v>
      </c>
      <c r="F9" s="43">
        <v>941</v>
      </c>
      <c r="G9" s="43">
        <v>941</v>
      </c>
      <c r="H9" s="43">
        <v>941</v>
      </c>
      <c r="I9" s="43">
        <v>1036</v>
      </c>
      <c r="J9" s="43">
        <v>1036</v>
      </c>
      <c r="K9" s="43">
        <v>1036</v>
      </c>
      <c r="L9" s="43">
        <v>1036</v>
      </c>
      <c r="M9" s="43">
        <v>1036</v>
      </c>
      <c r="N9" s="44">
        <f>SUM(B9:M9)</f>
        <v>11193</v>
      </c>
    </row>
    <row r="11" spans="1:14" x14ac:dyDescent="0.2">
      <c r="A11" s="1" t="s">
        <v>95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4" ht="18" customHeight="1" x14ac:dyDescent="0.2">
      <c r="A12" s="25" t="s">
        <v>96</v>
      </c>
      <c r="B12" s="45">
        <v>270</v>
      </c>
      <c r="C12" s="45">
        <v>360</v>
      </c>
      <c r="D12" s="45">
        <v>360</v>
      </c>
      <c r="E12" s="45">
        <v>450</v>
      </c>
      <c r="F12" s="45">
        <v>450</v>
      </c>
      <c r="G12" s="45">
        <v>450</v>
      </c>
      <c r="H12" s="45">
        <v>450</v>
      </c>
      <c r="I12" s="45">
        <v>540</v>
      </c>
      <c r="J12" s="45">
        <v>540</v>
      </c>
      <c r="K12" s="45">
        <v>540</v>
      </c>
      <c r="L12" s="45">
        <v>540</v>
      </c>
      <c r="M12" s="45">
        <v>540</v>
      </c>
      <c r="N12" s="46">
        <f>SUM(B12:M12)</f>
        <v>5490</v>
      </c>
    </row>
    <row r="13" spans="1:14" ht="19.5" customHeight="1" x14ac:dyDescent="0.2">
      <c r="A13" s="30" t="s">
        <v>97</v>
      </c>
      <c r="B13" s="47">
        <v>365</v>
      </c>
      <c r="C13" s="47">
        <v>428</v>
      </c>
      <c r="D13" s="47">
        <v>466</v>
      </c>
      <c r="E13" s="47">
        <v>491</v>
      </c>
      <c r="F13" s="47">
        <v>491</v>
      </c>
      <c r="G13" s="47">
        <v>491</v>
      </c>
      <c r="H13" s="47">
        <v>491</v>
      </c>
      <c r="I13" s="47">
        <v>496</v>
      </c>
      <c r="J13" s="47">
        <v>496</v>
      </c>
      <c r="K13" s="47">
        <v>496</v>
      </c>
      <c r="L13" s="47">
        <v>496</v>
      </c>
      <c r="M13" s="47">
        <v>496</v>
      </c>
      <c r="N13" s="48">
        <f>SUM(B13:M13)</f>
        <v>5703</v>
      </c>
    </row>
    <row r="14" spans="1:14" ht="18" customHeight="1" x14ac:dyDescent="0.2">
      <c r="A14" s="49" t="s">
        <v>98</v>
      </c>
      <c r="B14" s="50">
        <f t="shared" ref="B14:M14" si="0">B13/B9</f>
        <v>0.57480314960629919</v>
      </c>
      <c r="C14" s="50">
        <f t="shared" si="0"/>
        <v>0.54314720812182737</v>
      </c>
      <c r="D14" s="50">
        <f t="shared" si="0"/>
        <v>0.56416464891041163</v>
      </c>
      <c r="E14" s="50">
        <f t="shared" si="0"/>
        <v>0.52178533475026567</v>
      </c>
      <c r="F14" s="50">
        <f t="shared" si="0"/>
        <v>0.52178533475026567</v>
      </c>
      <c r="G14" s="50">
        <f t="shared" si="0"/>
        <v>0.52178533475026567</v>
      </c>
      <c r="H14" s="50">
        <f t="shared" si="0"/>
        <v>0.52178533475026567</v>
      </c>
      <c r="I14" s="50">
        <f t="shared" si="0"/>
        <v>0.47876447876447875</v>
      </c>
      <c r="J14" s="50">
        <f t="shared" si="0"/>
        <v>0.47876447876447875</v>
      </c>
      <c r="K14" s="50">
        <f t="shared" si="0"/>
        <v>0.47876447876447875</v>
      </c>
      <c r="L14" s="50">
        <f t="shared" si="0"/>
        <v>0.47876447876447875</v>
      </c>
      <c r="M14" s="50">
        <f t="shared" si="0"/>
        <v>0.47876447876447875</v>
      </c>
    </row>
    <row r="17" spans="1:13" x14ac:dyDescent="0.2">
      <c r="A17" s="65" t="s">
        <v>121</v>
      </c>
    </row>
    <row r="18" spans="1:13" x14ac:dyDescent="0.2">
      <c r="A18" s="66" t="s">
        <v>122</v>
      </c>
      <c r="B18" s="66" t="s">
        <v>67</v>
      </c>
      <c r="C18" s="66" t="s">
        <v>68</v>
      </c>
      <c r="D18" s="66" t="s">
        <v>69</v>
      </c>
      <c r="E18" s="66" t="s">
        <v>70</v>
      </c>
      <c r="F18" s="66" t="s">
        <v>71</v>
      </c>
      <c r="G18" s="66" t="s">
        <v>72</v>
      </c>
      <c r="H18" s="66" t="s">
        <v>73</v>
      </c>
      <c r="I18" s="66" t="s">
        <v>74</v>
      </c>
      <c r="J18" s="66" t="s">
        <v>75</v>
      </c>
      <c r="K18" s="66" t="s">
        <v>76</v>
      </c>
      <c r="L18" s="66" t="s">
        <v>77</v>
      </c>
      <c r="M18" s="66" t="s">
        <v>78</v>
      </c>
    </row>
    <row r="19" spans="1:13" x14ac:dyDescent="0.2">
      <c r="A19" s="67" t="s">
        <v>123</v>
      </c>
      <c r="B19" s="68">
        <v>160</v>
      </c>
      <c r="C19" s="68">
        <v>180</v>
      </c>
      <c r="D19" s="68">
        <v>180</v>
      </c>
      <c r="E19" s="68">
        <v>200</v>
      </c>
      <c r="F19" s="68">
        <v>200</v>
      </c>
      <c r="G19" s="68">
        <v>200</v>
      </c>
      <c r="H19" s="68">
        <v>200</v>
      </c>
      <c r="I19" s="68">
        <v>200</v>
      </c>
      <c r="J19" s="68">
        <v>200</v>
      </c>
      <c r="K19" s="68">
        <v>200</v>
      </c>
      <c r="L19" s="68">
        <v>200</v>
      </c>
      <c r="M19" s="68">
        <v>200</v>
      </c>
    </row>
    <row r="20" spans="1:13" x14ac:dyDescent="0.2">
      <c r="A20" s="69" t="s">
        <v>124</v>
      </c>
      <c r="B20" s="68">
        <v>190</v>
      </c>
      <c r="C20" s="68">
        <v>228</v>
      </c>
      <c r="D20" s="68">
        <v>266</v>
      </c>
      <c r="E20" s="68">
        <v>266</v>
      </c>
      <c r="F20" s="68">
        <v>266</v>
      </c>
      <c r="G20" s="68">
        <v>266</v>
      </c>
      <c r="H20" s="68">
        <v>266</v>
      </c>
      <c r="I20" s="68">
        <v>266</v>
      </c>
      <c r="J20" s="68">
        <v>266</v>
      </c>
      <c r="K20" s="68">
        <v>266</v>
      </c>
      <c r="L20" s="68">
        <v>266</v>
      </c>
      <c r="M20" s="68">
        <v>266</v>
      </c>
    </row>
    <row r="21" spans="1:13" x14ac:dyDescent="0.2">
      <c r="A21" s="70" t="s">
        <v>125</v>
      </c>
      <c r="B21" s="68">
        <v>285</v>
      </c>
      <c r="C21" s="68">
        <v>380</v>
      </c>
      <c r="D21" s="68">
        <v>380</v>
      </c>
      <c r="E21" s="68">
        <v>475</v>
      </c>
      <c r="F21" s="68">
        <v>475</v>
      </c>
      <c r="G21" s="68">
        <v>475</v>
      </c>
      <c r="H21" s="68">
        <v>475</v>
      </c>
      <c r="I21" s="68">
        <v>570</v>
      </c>
      <c r="J21" s="68">
        <v>570</v>
      </c>
      <c r="K21" s="68">
        <v>570</v>
      </c>
      <c r="L21" s="68">
        <v>570</v>
      </c>
      <c r="M21" s="68">
        <v>570</v>
      </c>
    </row>
    <row r="22" spans="1:13" x14ac:dyDescent="0.2">
      <c r="A22" s="71" t="s">
        <v>126</v>
      </c>
      <c r="B22" s="68">
        <v>270</v>
      </c>
      <c r="C22" s="68">
        <v>360</v>
      </c>
      <c r="D22" s="68">
        <v>360</v>
      </c>
      <c r="E22" s="68">
        <v>450</v>
      </c>
      <c r="F22" s="68">
        <v>450</v>
      </c>
      <c r="G22" s="68">
        <v>450</v>
      </c>
      <c r="H22" s="68">
        <v>450</v>
      </c>
      <c r="I22" s="68">
        <v>540</v>
      </c>
      <c r="J22" s="68">
        <v>540</v>
      </c>
      <c r="K22" s="68">
        <v>540</v>
      </c>
      <c r="L22" s="68">
        <v>540</v>
      </c>
      <c r="M22" s="68">
        <v>540</v>
      </c>
    </row>
  </sheetData>
  <mergeCells count="3">
    <mergeCell ref="A1:N1"/>
    <mergeCell ref="A4:M4"/>
    <mergeCell ref="A11:M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N19"/>
  <sheetViews>
    <sheetView showGridLines="0" topLeftCell="A9" zoomScaleNormal="100" workbookViewId="0">
      <selection activeCell="A16" sqref="A16:O46"/>
    </sheetView>
  </sheetViews>
  <sheetFormatPr baseColWidth="10" defaultColWidth="8.6640625" defaultRowHeight="15" x14ac:dyDescent="0.2"/>
  <cols>
    <col min="1" max="1" width="44" customWidth="1"/>
    <col min="2" max="14" width="10" customWidth="1"/>
  </cols>
  <sheetData>
    <row r="1" spans="1:14" ht="25.5" customHeight="1" x14ac:dyDescent="0.2">
      <c r="A1" s="2" t="s">
        <v>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x14ac:dyDescent="0.2">
      <c r="A3" s="7" t="s">
        <v>100</v>
      </c>
      <c r="B3" s="7" t="s">
        <v>67</v>
      </c>
      <c r="C3" s="7" t="s">
        <v>68</v>
      </c>
      <c r="D3" s="7" t="s">
        <v>69</v>
      </c>
      <c r="E3" s="7" t="s">
        <v>70</v>
      </c>
      <c r="F3" s="7" t="s">
        <v>71</v>
      </c>
      <c r="G3" s="7" t="s">
        <v>72</v>
      </c>
      <c r="H3" s="7" t="s">
        <v>73</v>
      </c>
      <c r="I3" s="7" t="s">
        <v>74</v>
      </c>
      <c r="J3" s="7" t="s">
        <v>75</v>
      </c>
      <c r="K3" s="7" t="s">
        <v>76</v>
      </c>
      <c r="L3" s="7" t="s">
        <v>77</v>
      </c>
      <c r="M3" s="7" t="s">
        <v>78</v>
      </c>
      <c r="N3" s="7" t="s">
        <v>79</v>
      </c>
    </row>
    <row r="4" spans="1:14" ht="18" customHeight="1" x14ac:dyDescent="0.2">
      <c r="A4" s="1" t="s">
        <v>101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4" ht="18" customHeight="1" x14ac:dyDescent="0.2">
      <c r="A5" s="51" t="s">
        <v>102</v>
      </c>
      <c r="B5" s="52">
        <v>800</v>
      </c>
      <c r="C5" s="52">
        <v>800</v>
      </c>
      <c r="D5" s="52">
        <v>800</v>
      </c>
      <c r="E5" s="52">
        <v>800</v>
      </c>
      <c r="F5" s="52">
        <v>800</v>
      </c>
      <c r="G5" s="52">
        <v>800</v>
      </c>
      <c r="H5" s="52">
        <v>800</v>
      </c>
      <c r="I5" s="52">
        <v>800</v>
      </c>
      <c r="J5" s="52">
        <v>800</v>
      </c>
      <c r="K5" s="52">
        <v>800</v>
      </c>
      <c r="L5" s="52">
        <v>800</v>
      </c>
      <c r="M5" s="52">
        <v>800</v>
      </c>
      <c r="N5" s="53">
        <f>SUM(B5:M5)</f>
        <v>9600</v>
      </c>
    </row>
    <row r="6" spans="1:14" ht="18" customHeight="1" x14ac:dyDescent="0.2">
      <c r="A6" s="51" t="s">
        <v>103</v>
      </c>
      <c r="B6" s="52">
        <v>635</v>
      </c>
      <c r="C6" s="52">
        <v>788</v>
      </c>
      <c r="D6" s="52">
        <v>826</v>
      </c>
      <c r="E6" s="52">
        <v>941</v>
      </c>
      <c r="F6" s="52">
        <v>941</v>
      </c>
      <c r="G6" s="52">
        <v>941</v>
      </c>
      <c r="H6" s="52">
        <v>941</v>
      </c>
      <c r="I6" s="52">
        <v>1036</v>
      </c>
      <c r="J6" s="52">
        <v>1036</v>
      </c>
      <c r="K6" s="52">
        <v>1036</v>
      </c>
      <c r="L6" s="52">
        <v>1036</v>
      </c>
      <c r="M6" s="52">
        <v>1036</v>
      </c>
      <c r="N6" s="53">
        <f>SUM(B6:M6)</f>
        <v>11193</v>
      </c>
    </row>
    <row r="7" spans="1:14" ht="18" customHeight="1" x14ac:dyDescent="0.2">
      <c r="A7" s="1" t="s">
        <v>104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4" ht="18" customHeight="1" x14ac:dyDescent="0.2">
      <c r="A8" s="54" t="s">
        <v>105</v>
      </c>
      <c r="B8" s="55">
        <v>-270</v>
      </c>
      <c r="C8" s="55">
        <v>-360</v>
      </c>
      <c r="D8" s="55">
        <v>-360</v>
      </c>
      <c r="E8" s="55">
        <v>-450</v>
      </c>
      <c r="F8" s="55">
        <v>-450</v>
      </c>
      <c r="G8" s="55">
        <v>-450</v>
      </c>
      <c r="H8" s="55">
        <v>-450</v>
      </c>
      <c r="I8" s="55">
        <v>-540</v>
      </c>
      <c r="J8" s="55">
        <v>-540</v>
      </c>
      <c r="K8" s="55">
        <v>-540</v>
      </c>
      <c r="L8" s="55">
        <v>-540</v>
      </c>
      <c r="M8" s="55">
        <v>-540</v>
      </c>
      <c r="N8" s="56">
        <f>SUM(B8:M8)</f>
        <v>-5490</v>
      </c>
    </row>
    <row r="9" spans="1:14" ht="18" customHeight="1" x14ac:dyDescent="0.2">
      <c r="A9" s="54" t="s">
        <v>106</v>
      </c>
      <c r="B9" s="55">
        <v>-350</v>
      </c>
      <c r="C9" s="55">
        <v>-360</v>
      </c>
      <c r="D9" s="55">
        <v>-370</v>
      </c>
      <c r="E9" s="55">
        <v>-380</v>
      </c>
      <c r="F9" s="55">
        <v>-380</v>
      </c>
      <c r="G9" s="55">
        <v>-385</v>
      </c>
      <c r="H9" s="55">
        <v>-385</v>
      </c>
      <c r="I9" s="55">
        <v>-390</v>
      </c>
      <c r="J9" s="55">
        <v>-390</v>
      </c>
      <c r="K9" s="55">
        <v>-395</v>
      </c>
      <c r="L9" s="55">
        <v>-395</v>
      </c>
      <c r="M9" s="55">
        <v>-400</v>
      </c>
      <c r="N9" s="56">
        <f>SUM(B9:M9)</f>
        <v>-4580</v>
      </c>
    </row>
    <row r="10" spans="1:14" ht="18" customHeight="1" x14ac:dyDescent="0.2">
      <c r="A10" s="1" t="s">
        <v>107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4" ht="18" customHeight="1" x14ac:dyDescent="0.2">
      <c r="A11" s="57" t="s">
        <v>108</v>
      </c>
      <c r="B11" s="58">
        <v>3365</v>
      </c>
      <c r="C11" s="58">
        <v>3377</v>
      </c>
      <c r="D11" s="58">
        <v>3351</v>
      </c>
      <c r="E11" s="58">
        <v>3210</v>
      </c>
      <c r="F11" s="58">
        <v>3210</v>
      </c>
      <c r="G11" s="58">
        <v>3210</v>
      </c>
      <c r="H11" s="58">
        <v>3210</v>
      </c>
      <c r="I11" s="58">
        <v>3115</v>
      </c>
      <c r="J11" s="58">
        <v>3115</v>
      </c>
      <c r="K11" s="58">
        <v>3115</v>
      </c>
      <c r="L11" s="58">
        <v>3115</v>
      </c>
      <c r="M11" s="58">
        <v>3115</v>
      </c>
      <c r="N11" s="59">
        <v>3115</v>
      </c>
    </row>
    <row r="12" spans="1:14" ht="19.5" customHeight="1" x14ac:dyDescent="0.2">
      <c r="A12" s="30" t="s">
        <v>109</v>
      </c>
      <c r="B12" s="60">
        <v>15</v>
      </c>
      <c r="C12" s="60">
        <v>68</v>
      </c>
      <c r="D12" s="60">
        <v>96</v>
      </c>
      <c r="E12" s="60">
        <v>111</v>
      </c>
      <c r="F12" s="60">
        <v>111</v>
      </c>
      <c r="G12" s="60">
        <v>106</v>
      </c>
      <c r="H12" s="60">
        <v>106</v>
      </c>
      <c r="I12" s="60">
        <v>106</v>
      </c>
      <c r="J12" s="60">
        <v>106</v>
      </c>
      <c r="K12" s="60">
        <v>101</v>
      </c>
      <c r="L12" s="60">
        <v>101</v>
      </c>
      <c r="M12" s="60">
        <v>96</v>
      </c>
      <c r="N12" s="44">
        <f>SUM(B12:M12)</f>
        <v>1123</v>
      </c>
    </row>
    <row r="16" spans="1:14" x14ac:dyDescent="0.2">
      <c r="A16" s="65" t="s">
        <v>127</v>
      </c>
    </row>
    <row r="17" spans="1:13" x14ac:dyDescent="0.2">
      <c r="A17" s="66" t="s">
        <v>122</v>
      </c>
      <c r="B17" s="66" t="s">
        <v>67</v>
      </c>
      <c r="C17" s="66" t="s">
        <v>68</v>
      </c>
      <c r="D17" s="66" t="s">
        <v>69</v>
      </c>
      <c r="E17" s="66" t="s">
        <v>70</v>
      </c>
      <c r="F17" s="66" t="s">
        <v>71</v>
      </c>
      <c r="G17" s="66" t="s">
        <v>72</v>
      </c>
      <c r="H17" s="66" t="s">
        <v>73</v>
      </c>
      <c r="I17" s="66" t="s">
        <v>74</v>
      </c>
      <c r="J17" s="66" t="s">
        <v>75</v>
      </c>
      <c r="K17" s="66" t="s">
        <v>76</v>
      </c>
      <c r="L17" s="66" t="s">
        <v>77</v>
      </c>
      <c r="M17" s="66" t="s">
        <v>78</v>
      </c>
    </row>
    <row r="18" spans="1:13" x14ac:dyDescent="0.2">
      <c r="A18" t="s">
        <v>128</v>
      </c>
      <c r="B18">
        <v>365</v>
      </c>
      <c r="C18">
        <v>428</v>
      </c>
      <c r="D18">
        <v>466</v>
      </c>
      <c r="E18">
        <v>491</v>
      </c>
      <c r="F18">
        <v>491</v>
      </c>
      <c r="G18">
        <v>491</v>
      </c>
      <c r="H18">
        <v>491</v>
      </c>
      <c r="I18">
        <v>496</v>
      </c>
      <c r="J18">
        <v>496</v>
      </c>
      <c r="K18">
        <v>496</v>
      </c>
      <c r="L18">
        <v>496</v>
      </c>
      <c r="M18">
        <v>496</v>
      </c>
    </row>
    <row r="19" spans="1:13" x14ac:dyDescent="0.2">
      <c r="A19" t="s">
        <v>129</v>
      </c>
      <c r="B19">
        <v>15</v>
      </c>
      <c r="C19">
        <v>68</v>
      </c>
      <c r="D19">
        <v>96</v>
      </c>
      <c r="E19">
        <v>111</v>
      </c>
      <c r="F19">
        <v>111</v>
      </c>
      <c r="G19">
        <v>106</v>
      </c>
      <c r="H19">
        <v>106</v>
      </c>
      <c r="I19">
        <v>106</v>
      </c>
      <c r="J19">
        <v>106</v>
      </c>
      <c r="K19">
        <v>101</v>
      </c>
      <c r="L19">
        <v>101</v>
      </c>
      <c r="M19">
        <v>96</v>
      </c>
    </row>
  </sheetData>
  <mergeCells count="4">
    <mergeCell ref="A1:N1"/>
    <mergeCell ref="A4:M4"/>
    <mergeCell ref="A7:M7"/>
    <mergeCell ref="A10:M1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G42"/>
  <sheetViews>
    <sheetView showGridLines="0" topLeftCell="A22" zoomScaleNormal="100" workbookViewId="0">
      <selection activeCell="F12" sqref="F12"/>
    </sheetView>
  </sheetViews>
  <sheetFormatPr baseColWidth="10" defaultColWidth="8.6640625" defaultRowHeight="15" x14ac:dyDescent="0.2"/>
  <cols>
    <col min="1" max="1" width="32" customWidth="1"/>
    <col min="2" max="6" width="16" customWidth="1"/>
  </cols>
  <sheetData>
    <row r="1" spans="1:7" ht="25.5" customHeight="1" x14ac:dyDescent="0.2">
      <c r="A1" s="2" t="s">
        <v>130</v>
      </c>
      <c r="B1" s="2"/>
      <c r="C1" s="2"/>
      <c r="D1" s="2"/>
      <c r="E1" s="2"/>
      <c r="F1" s="2"/>
      <c r="G1" s="2"/>
    </row>
    <row r="3" spans="1:7" x14ac:dyDescent="0.2">
      <c r="A3" s="72" t="s">
        <v>131</v>
      </c>
      <c r="B3" s="72"/>
      <c r="C3" s="72"/>
      <c r="D3" s="72"/>
      <c r="E3" s="72"/>
      <c r="F3" s="72"/>
      <c r="G3" s="72"/>
    </row>
    <row r="4" spans="1:7" ht="19.5" customHeight="1" x14ac:dyDescent="0.2">
      <c r="A4" s="66" t="s">
        <v>132</v>
      </c>
      <c r="B4" s="66" t="s">
        <v>110</v>
      </c>
      <c r="C4" s="66" t="s">
        <v>133</v>
      </c>
      <c r="D4" s="66" t="s">
        <v>112</v>
      </c>
      <c r="E4" s="66" t="s">
        <v>134</v>
      </c>
      <c r="F4" s="66" t="s">
        <v>135</v>
      </c>
    </row>
    <row r="5" spans="1:7" ht="19.5" customHeight="1" x14ac:dyDescent="0.2">
      <c r="A5" s="73" t="s">
        <v>113</v>
      </c>
      <c r="B5" s="74">
        <v>6</v>
      </c>
      <c r="C5" s="75">
        <v>10</v>
      </c>
      <c r="D5" s="76">
        <v>13</v>
      </c>
      <c r="E5" s="10" t="s">
        <v>136</v>
      </c>
      <c r="F5" s="6" t="s">
        <v>137</v>
      </c>
    </row>
    <row r="6" spans="1:7" ht="19.5" customHeight="1" x14ac:dyDescent="0.2">
      <c r="A6" s="73" t="s">
        <v>24</v>
      </c>
      <c r="B6" s="77">
        <v>0.55000000000000004</v>
      </c>
      <c r="C6" s="78">
        <v>0.7</v>
      </c>
      <c r="D6" s="79">
        <v>0.75</v>
      </c>
      <c r="E6" s="10" t="s">
        <v>25</v>
      </c>
      <c r="F6" s="6" t="s">
        <v>138</v>
      </c>
    </row>
    <row r="7" spans="1:7" ht="19.5" customHeight="1" x14ac:dyDescent="0.2">
      <c r="A7" s="73" t="s">
        <v>139</v>
      </c>
      <c r="B7" s="77">
        <v>0.15</v>
      </c>
      <c r="C7" s="78">
        <v>0.08</v>
      </c>
      <c r="D7" s="79">
        <v>0.05</v>
      </c>
      <c r="E7" s="10" t="s">
        <v>25</v>
      </c>
      <c r="F7" s="6" t="s">
        <v>140</v>
      </c>
    </row>
    <row r="8" spans="1:7" ht="19.5" customHeight="1" x14ac:dyDescent="0.2">
      <c r="A8" s="73" t="s">
        <v>141</v>
      </c>
      <c r="B8" s="74">
        <v>10</v>
      </c>
      <c r="C8" s="75">
        <v>9.5</v>
      </c>
      <c r="D8" s="76">
        <v>9</v>
      </c>
      <c r="E8" s="10" t="s">
        <v>31</v>
      </c>
      <c r="F8" s="6" t="s">
        <v>142</v>
      </c>
    </row>
    <row r="9" spans="1:7" ht="19.5" customHeight="1" x14ac:dyDescent="0.2">
      <c r="A9" s="73" t="s">
        <v>143</v>
      </c>
      <c r="B9" s="77">
        <v>0.85</v>
      </c>
      <c r="C9" s="78">
        <v>1</v>
      </c>
      <c r="D9" s="79">
        <v>1</v>
      </c>
      <c r="E9" s="10" t="s">
        <v>144</v>
      </c>
      <c r="F9" s="6" t="s">
        <v>145</v>
      </c>
    </row>
    <row r="10" spans="1:7" ht="19.5" customHeight="1" x14ac:dyDescent="0.2"/>
    <row r="11" spans="1:7" ht="19.5" customHeight="1" x14ac:dyDescent="0.2">
      <c r="A11" s="72" t="s">
        <v>146</v>
      </c>
      <c r="B11" s="72"/>
      <c r="C11" s="72"/>
      <c r="D11" s="72"/>
      <c r="E11" s="72"/>
      <c r="F11" s="72"/>
      <c r="G11" s="72"/>
    </row>
    <row r="12" spans="1:7" ht="19.5" customHeight="1" x14ac:dyDescent="0.2">
      <c r="A12" s="80" t="s">
        <v>147</v>
      </c>
      <c r="B12" s="80" t="s">
        <v>148</v>
      </c>
      <c r="C12" s="81" t="s">
        <v>149</v>
      </c>
      <c r="D12" s="81" t="s">
        <v>150</v>
      </c>
      <c r="E12" s="81" t="s">
        <v>151</v>
      </c>
    </row>
    <row r="13" spans="1:7" ht="19.5" customHeight="1" x14ac:dyDescent="0.2">
      <c r="A13" s="82" t="s">
        <v>152</v>
      </c>
      <c r="B13" s="82" t="s">
        <v>153</v>
      </c>
      <c r="C13" s="83" t="s">
        <v>154</v>
      </c>
      <c r="D13" s="84" t="s">
        <v>155</v>
      </c>
      <c r="E13" s="85" t="s">
        <v>156</v>
      </c>
    </row>
    <row r="14" spans="1:7" ht="19.5" customHeight="1" x14ac:dyDescent="0.2">
      <c r="A14" s="82" t="s">
        <v>157</v>
      </c>
      <c r="B14" s="86" t="s">
        <v>158</v>
      </c>
      <c r="C14" s="83" t="s">
        <v>159</v>
      </c>
      <c r="D14" s="84" t="s">
        <v>160</v>
      </c>
      <c r="E14" s="85" t="s">
        <v>161</v>
      </c>
    </row>
    <row r="15" spans="1:7" ht="56" x14ac:dyDescent="0.2">
      <c r="A15" s="82" t="s">
        <v>162</v>
      </c>
      <c r="B15" s="82" t="s">
        <v>163</v>
      </c>
      <c r="C15" s="83" t="s">
        <v>164</v>
      </c>
      <c r="D15" s="84" t="s">
        <v>165</v>
      </c>
      <c r="E15" s="85" t="s">
        <v>166</v>
      </c>
    </row>
    <row r="16" spans="1:7" ht="70" x14ac:dyDescent="0.2">
      <c r="A16" s="82" t="s">
        <v>167</v>
      </c>
      <c r="B16" s="86" t="s">
        <v>168</v>
      </c>
      <c r="C16" s="83" t="s">
        <v>169</v>
      </c>
      <c r="D16" s="84" t="s">
        <v>170</v>
      </c>
      <c r="E16" s="85" t="s">
        <v>171</v>
      </c>
    </row>
    <row r="17" spans="1:7" ht="28" x14ac:dyDescent="0.2">
      <c r="A17" s="82" t="s">
        <v>172</v>
      </c>
      <c r="B17" s="82" t="s">
        <v>173</v>
      </c>
      <c r="C17" s="83" t="s">
        <v>174</v>
      </c>
      <c r="D17" s="84" t="s">
        <v>175</v>
      </c>
      <c r="E17" s="85" t="s">
        <v>176</v>
      </c>
    </row>
    <row r="18" spans="1:7" ht="28" x14ac:dyDescent="0.2">
      <c r="A18" s="82" t="s">
        <v>177</v>
      </c>
      <c r="B18" s="86" t="s">
        <v>178</v>
      </c>
      <c r="C18" s="83" t="s">
        <v>179</v>
      </c>
      <c r="D18" s="84" t="s">
        <v>180</v>
      </c>
      <c r="E18" s="85" t="s">
        <v>181</v>
      </c>
    </row>
    <row r="19" spans="1:7" ht="42" x14ac:dyDescent="0.2">
      <c r="A19" s="82" t="s">
        <v>182</v>
      </c>
      <c r="B19" s="82" t="s">
        <v>183</v>
      </c>
      <c r="C19" s="83" t="s">
        <v>184</v>
      </c>
      <c r="D19" s="84" t="s">
        <v>185</v>
      </c>
      <c r="E19" s="85" t="s">
        <v>186</v>
      </c>
    </row>
    <row r="20" spans="1:7" ht="28" x14ac:dyDescent="0.2">
      <c r="A20" s="82" t="s">
        <v>187</v>
      </c>
      <c r="B20" s="86" t="s">
        <v>188</v>
      </c>
      <c r="C20" s="83" t="s">
        <v>189</v>
      </c>
      <c r="D20" s="84" t="s">
        <v>190</v>
      </c>
      <c r="E20" s="85" t="s">
        <v>191</v>
      </c>
    </row>
    <row r="21" spans="1:7" ht="84" x14ac:dyDescent="0.2">
      <c r="A21" s="82" t="s">
        <v>192</v>
      </c>
      <c r="B21" s="82" t="s">
        <v>193</v>
      </c>
      <c r="C21" s="83" t="s">
        <v>194</v>
      </c>
      <c r="D21" s="84" t="s">
        <v>195</v>
      </c>
      <c r="E21" s="85" t="s">
        <v>196</v>
      </c>
    </row>
    <row r="22" spans="1:7" ht="28" x14ac:dyDescent="0.2">
      <c r="A22" s="82" t="s">
        <v>197</v>
      </c>
      <c r="B22" s="86" t="s">
        <v>198</v>
      </c>
      <c r="C22" s="83" t="s">
        <v>199</v>
      </c>
      <c r="D22" s="84" t="s">
        <v>200</v>
      </c>
      <c r="E22" s="85" t="s">
        <v>201</v>
      </c>
    </row>
    <row r="23" spans="1:7" ht="42" x14ac:dyDescent="0.2">
      <c r="A23" s="82" t="s">
        <v>202</v>
      </c>
      <c r="B23" s="82" t="s">
        <v>203</v>
      </c>
      <c r="C23" s="83" t="s">
        <v>204</v>
      </c>
      <c r="D23" s="84" t="s">
        <v>204</v>
      </c>
      <c r="E23" s="85" t="s">
        <v>204</v>
      </c>
    </row>
    <row r="24" spans="1:7" ht="28" x14ac:dyDescent="0.2">
      <c r="A24" s="82" t="s">
        <v>205</v>
      </c>
      <c r="B24" s="86" t="s">
        <v>206</v>
      </c>
      <c r="C24" s="83" t="s">
        <v>207</v>
      </c>
      <c r="D24" s="84" t="s">
        <v>208</v>
      </c>
      <c r="E24" s="85" t="s">
        <v>209</v>
      </c>
    </row>
    <row r="25" spans="1:7" ht="28" x14ac:dyDescent="0.2">
      <c r="A25" s="82" t="s">
        <v>210</v>
      </c>
      <c r="B25" s="82" t="s">
        <v>211</v>
      </c>
      <c r="C25" s="83" t="s">
        <v>212</v>
      </c>
      <c r="D25" s="84" t="s">
        <v>213</v>
      </c>
      <c r="E25" s="85" t="s">
        <v>214</v>
      </c>
    </row>
    <row r="27" spans="1:7" x14ac:dyDescent="0.2">
      <c r="A27" s="72" t="s">
        <v>215</v>
      </c>
      <c r="B27" s="72"/>
      <c r="C27" s="72"/>
      <c r="D27" s="72"/>
      <c r="E27" s="72"/>
      <c r="F27" s="72"/>
      <c r="G27" s="72"/>
    </row>
    <row r="28" spans="1:7" x14ac:dyDescent="0.2">
      <c r="A28" s="66" t="s">
        <v>66</v>
      </c>
      <c r="B28" s="66" t="s">
        <v>110</v>
      </c>
      <c r="C28" s="66" t="s">
        <v>111</v>
      </c>
      <c r="D28" s="66" t="s">
        <v>112</v>
      </c>
      <c r="E28" s="66" t="s">
        <v>216</v>
      </c>
      <c r="F28" s="66" t="s">
        <v>217</v>
      </c>
    </row>
    <row r="29" spans="1:7" x14ac:dyDescent="0.2">
      <c r="A29" s="73" t="s">
        <v>218</v>
      </c>
      <c r="B29" s="61" t="s">
        <v>219</v>
      </c>
      <c r="C29" s="87" t="s">
        <v>220</v>
      </c>
      <c r="D29" s="62" t="s">
        <v>221</v>
      </c>
      <c r="E29" s="63" t="s">
        <v>114</v>
      </c>
      <c r="F29" s="64" t="s">
        <v>115</v>
      </c>
    </row>
    <row r="30" spans="1:7" x14ac:dyDescent="0.2">
      <c r="A30" s="73" t="s">
        <v>222</v>
      </c>
      <c r="B30" s="61" t="s">
        <v>223</v>
      </c>
      <c r="C30" s="87" t="s">
        <v>224</v>
      </c>
      <c r="D30" s="62" t="s">
        <v>225</v>
      </c>
      <c r="E30" s="63" t="s">
        <v>226</v>
      </c>
      <c r="F30" s="64" t="s">
        <v>227</v>
      </c>
    </row>
    <row r="31" spans="1:7" x14ac:dyDescent="0.2">
      <c r="A31" s="73" t="s">
        <v>98</v>
      </c>
      <c r="B31" s="61" t="s">
        <v>228</v>
      </c>
      <c r="C31" s="87" t="s">
        <v>229</v>
      </c>
      <c r="D31" s="62" t="s">
        <v>230</v>
      </c>
      <c r="E31" s="63" t="s">
        <v>231</v>
      </c>
      <c r="F31" s="64" t="s">
        <v>232</v>
      </c>
    </row>
    <row r="32" spans="1:7" x14ac:dyDescent="0.2">
      <c r="A32" s="73" t="s">
        <v>233</v>
      </c>
      <c r="B32" s="61" t="s">
        <v>234</v>
      </c>
      <c r="C32" s="87" t="s">
        <v>235</v>
      </c>
      <c r="D32" s="62" t="s">
        <v>236</v>
      </c>
      <c r="E32" s="63" t="s">
        <v>118</v>
      </c>
      <c r="F32" s="64" t="s">
        <v>237</v>
      </c>
    </row>
    <row r="33" spans="1:6" x14ac:dyDescent="0.2">
      <c r="A33" s="73" t="s">
        <v>238</v>
      </c>
      <c r="B33" s="61" t="s">
        <v>239</v>
      </c>
      <c r="C33" s="87" t="s">
        <v>240</v>
      </c>
      <c r="D33" s="62" t="s">
        <v>241</v>
      </c>
      <c r="E33" s="63" t="s">
        <v>117</v>
      </c>
      <c r="F33" s="64" t="s">
        <v>116</v>
      </c>
    </row>
    <row r="34" spans="1:6" x14ac:dyDescent="0.2">
      <c r="A34" s="73" t="s">
        <v>242</v>
      </c>
      <c r="B34" s="61" t="s">
        <v>243</v>
      </c>
      <c r="C34" s="87" t="s">
        <v>244</v>
      </c>
      <c r="D34" s="62" t="s">
        <v>245</v>
      </c>
      <c r="E34" s="63" t="s">
        <v>119</v>
      </c>
      <c r="F34" s="64" t="s">
        <v>120</v>
      </c>
    </row>
    <row r="35" spans="1:6" x14ac:dyDescent="0.2">
      <c r="A35" s="73" t="s">
        <v>246</v>
      </c>
      <c r="B35" s="61" t="s">
        <v>247</v>
      </c>
      <c r="C35" s="87" t="s">
        <v>248</v>
      </c>
      <c r="D35" s="62" t="s">
        <v>249</v>
      </c>
      <c r="E35" s="64" t="s">
        <v>250</v>
      </c>
      <c r="F35" s="64" t="s">
        <v>250</v>
      </c>
    </row>
    <row r="38" spans="1:6" x14ac:dyDescent="0.2">
      <c r="A38" s="65" t="s">
        <v>127</v>
      </c>
    </row>
    <row r="39" spans="1:6" x14ac:dyDescent="0.2">
      <c r="A39" t="s">
        <v>251</v>
      </c>
      <c r="B39" t="s">
        <v>252</v>
      </c>
      <c r="C39" t="s">
        <v>253</v>
      </c>
      <c r="D39" t="s">
        <v>254</v>
      </c>
    </row>
    <row r="40" spans="1:6" x14ac:dyDescent="0.2">
      <c r="A40" t="s">
        <v>110</v>
      </c>
      <c r="B40">
        <v>6.1</v>
      </c>
      <c r="C40">
        <v>1</v>
      </c>
      <c r="D40">
        <v>-3.5</v>
      </c>
    </row>
    <row r="41" spans="1:6" x14ac:dyDescent="0.2">
      <c r="A41" t="s">
        <v>111</v>
      </c>
      <c r="B41">
        <v>10.7</v>
      </c>
      <c r="C41">
        <v>5.2</v>
      </c>
      <c r="D41">
        <v>0.7</v>
      </c>
    </row>
    <row r="42" spans="1:6" x14ac:dyDescent="0.2">
      <c r="A42" t="s">
        <v>112</v>
      </c>
      <c r="B42">
        <v>14.2</v>
      </c>
      <c r="C42">
        <v>6.8</v>
      </c>
      <c r="D42">
        <v>2.2999999999999998</v>
      </c>
    </row>
  </sheetData>
  <mergeCells count="4">
    <mergeCell ref="A11:G11"/>
    <mergeCell ref="A27:G27"/>
    <mergeCell ref="A1:G1"/>
    <mergeCell ref="A3:G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Pipeline Waterfall</vt:lpstr>
      <vt:lpstr>Revenue Recognition</vt:lpstr>
      <vt:lpstr>Cash Flow Bridge</vt:lpstr>
      <vt:lpstr>Scenario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Jietong Lei</cp:lastModifiedBy>
  <cp:revision>0</cp:revision>
  <dcterms:created xsi:type="dcterms:W3CDTF">2026-05-11T20:32:30Z</dcterms:created>
  <dcterms:modified xsi:type="dcterms:W3CDTF">2026-05-11T21:09:43Z</dcterms:modified>
  <dc:language>en-US</dc:language>
</cp:coreProperties>
</file>